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maladam/Desktop/"/>
    </mc:Choice>
  </mc:AlternateContent>
  <xr:revisionPtr revIDLastSave="0" documentId="8_{F5906592-DCDF-A143-B56F-D407BC696C9F}" xr6:coauthVersionLast="47" xr6:coauthVersionMax="47" xr10:uidLastSave="{00000000-0000-0000-0000-000000000000}"/>
  <bookViews>
    <workbookView xWindow="12380" yWindow="500" windowWidth="20280" windowHeight="12660" xr2:uid="{332D737C-8FEF-E64F-8169-5CABB94D77F1}"/>
  </bookViews>
  <sheets>
    <sheet name="Parameters" sheetId="1" r:id="rId1"/>
    <sheet name="Dose rates" sheetId="2" r:id="rId2"/>
    <sheet name="Conversions &amp; Formulas" sheetId="3" r:id="rId3"/>
  </sheets>
  <externalReferences>
    <externalReference r:id="rId4"/>
    <externalReference r:id="rId5"/>
  </externalReferences>
  <definedNames>
    <definedName name="K_10">'[1]2COMP'!$S$42</definedName>
    <definedName name="K_12">'[1]2COMP'!$S$40</definedName>
    <definedName name="K_13">'[1]3COMP'!$J$26</definedName>
    <definedName name="K_21">'[1]2COMP'!$S$41</definedName>
    <definedName name="K_31">'[1]3COMP'!$J$27</definedName>
    <definedName name="StepDUR">'[1]BP PK 2.5 STEP'!$B$14</definedName>
    <definedName name="Ts">#REF!</definedName>
    <definedName name="Tsamp">'[2]BB ALL flows and T-half'!$C$2</definedName>
    <definedName name="Wtkg">'[2]BB ALL flows and T-half'!$A$8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1" l="1"/>
  <c r="O38" i="1" s="1"/>
  <c r="N26" i="1"/>
  <c r="O28" i="1" s="1"/>
  <c r="N20" i="1"/>
  <c r="O22" i="1" s="1"/>
  <c r="O26" i="1" l="1"/>
  <c r="O27" i="1"/>
  <c r="O20" i="1"/>
  <c r="O36" i="1"/>
  <c r="O37" i="1"/>
  <c r="O21" i="1"/>
</calcChain>
</file>

<file path=xl/sharedStrings.xml><?xml version="1.0" encoding="utf-8"?>
<sst xmlns="http://schemas.openxmlformats.org/spreadsheetml/2006/main" count="78" uniqueCount="43">
  <si>
    <t>CLEVIDIPINE</t>
  </si>
  <si>
    <t>NITROGLYCERIN</t>
  </si>
  <si>
    <t>Varying half-lives for the drugs (norepinephrine, epinephrine, vasopressin)</t>
  </si>
  <si>
    <t>NOREPINEPHRINE</t>
  </si>
  <si>
    <t>EPINEPHRINE</t>
  </si>
  <si>
    <t>VASOPRESSIN</t>
  </si>
  <si>
    <t>https://dailymed.nlm.nih.gov/dailymed/fda/fdaDrugXsl.cfm?setid=f5f03364-e71c-9bcd-e053-2995a90a8ada</t>
  </si>
  <si>
    <t>Drug</t>
  </si>
  <si>
    <t>Peripheral</t>
  </si>
  <si>
    <t>Central</t>
  </si>
  <si>
    <t>Epinephrine</t>
  </si>
  <si>
    <t>8 mcg/ml</t>
  </si>
  <si>
    <t>32 mcg/ml</t>
  </si>
  <si>
    <t>Dose (mcg/min)</t>
  </si>
  <si>
    <t>Flow Rate (ml/h)</t>
  </si>
  <si>
    <t>Norepinephrine</t>
  </si>
  <si>
    <t>16 mcg/ml</t>
  </si>
  <si>
    <t>Vasopressin</t>
  </si>
  <si>
    <t>1.0  U/ml</t>
  </si>
  <si>
    <t>Dose (U/min)</t>
  </si>
  <si>
    <t>Nitroglycerin</t>
  </si>
  <si>
    <t>400 mcg/ml</t>
  </si>
  <si>
    <t>Clevidpine</t>
  </si>
  <si>
    <t>0.5mg/ml</t>
  </si>
  <si>
    <t>Dose (mg/h)</t>
  </si>
  <si>
    <t>Nicardipine</t>
  </si>
  <si>
    <t>0.25 mg/mL</t>
  </si>
  <si>
    <t>*Referenced dose rates from Dr. Peterfreund</t>
  </si>
  <si>
    <t>Drug name</t>
  </si>
  <si>
    <t>Clevidipine</t>
  </si>
  <si>
    <t>Concentration in nmol/ml</t>
  </si>
  <si>
    <t>Final values</t>
  </si>
  <si>
    <t>Volume of distribution (within reported range, constant)</t>
  </si>
  <si>
    <t>Clearance level (varies  to produce desired half-life)</t>
  </si>
  <si>
    <t>Chosen</t>
  </si>
  <si>
    <t>Range of half-lives for norepinephrine (in min)</t>
  </si>
  <si>
    <t>Range of half-lives for epinephrine (in min)</t>
  </si>
  <si>
    <t>Range of half-lives for vasopressin (in min)</t>
  </si>
  <si>
    <t>Range of concentrations: 32-16-8 mcg/ml</t>
  </si>
  <si>
    <t>5 minute time step</t>
  </si>
  <si>
    <t>Peripheral (iv catheter in arm)</t>
  </si>
  <si>
    <t>Can't administer very conc. drug in peripheral</t>
  </si>
  <si>
    <t>Central (in neck/great vessel)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</si>
</sst>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scheme val="minor"/>
    </font>
    <font>
      <b/>
      <u/>
      <sz val="12"/>
      <color theme="1"/>
      <name val="Aptos Narrow (Body)"/>
    </font>
    <font>
      <b/>
      <u/>
      <sz val="14"/>
      <color theme="1"/>
      <name val="Aptos Narrow"/>
      <scheme val="minor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  <font>
      <sz val="11"/>
      <color rgb="FFFF0000"/>
      <name val="Aptos Narrow"/>
      <family val="2"/>
      <scheme val="minor"/>
    </font>
    <font>
      <b/>
      <u/>
      <sz val="11"/>
      <color rgb="FFFF0000"/>
      <name val="Aptos Narrow"/>
      <scheme val="minor"/>
    </font>
    <font>
      <b/>
      <sz val="11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27">
    <xf numFmtId="0" fontId="0" fillId="0" borderId="0" xfId="0"/>
    <xf numFmtId="0" fontId="3" fillId="2" borderId="0" xfId="0" applyFont="1" applyFill="1"/>
    <xf numFmtId="0" fontId="3" fillId="4" borderId="0" xfId="0" applyFont="1" applyFill="1"/>
    <xf numFmtId="0" fontId="3" fillId="0" borderId="0" xfId="0" applyFont="1"/>
    <xf numFmtId="0" fontId="3" fillId="5" borderId="0" xfId="0" applyFont="1" applyFill="1"/>
    <xf numFmtId="0" fontId="3" fillId="6" borderId="0" xfId="0" applyFont="1" applyFill="1"/>
    <xf numFmtId="0" fontId="4" fillId="0" borderId="0" xfId="0" applyFont="1"/>
    <xf numFmtId="0" fontId="3" fillId="7" borderId="0" xfId="0" applyFont="1" applyFill="1"/>
    <xf numFmtId="0" fontId="2" fillId="0" borderId="0" xfId="1"/>
    <xf numFmtId="0" fontId="5" fillId="0" borderId="0" xfId="2"/>
    <xf numFmtId="0" fontId="5" fillId="0" borderId="0" xfId="2" applyAlignment="1">
      <alignment horizontal="center"/>
    </xf>
    <xf numFmtId="0" fontId="6" fillId="0" borderId="0" xfId="2" applyFont="1"/>
    <xf numFmtId="0" fontId="6" fillId="2" borderId="0" xfId="2" applyFont="1" applyFill="1"/>
    <xf numFmtId="0" fontId="5" fillId="2" borderId="0" xfId="2" applyFill="1" applyAlignment="1">
      <alignment horizontal="center"/>
    </xf>
    <xf numFmtId="0" fontId="5" fillId="2" borderId="0" xfId="2" applyFill="1"/>
    <xf numFmtId="0" fontId="7" fillId="0" borderId="0" xfId="2" applyFont="1"/>
    <xf numFmtId="0" fontId="8" fillId="0" borderId="0" xfId="0" applyFont="1"/>
    <xf numFmtId="11" fontId="0" fillId="0" borderId="0" xfId="0" applyNumberFormat="1"/>
    <xf numFmtId="0" fontId="3" fillId="3" borderId="0" xfId="0" applyFont="1" applyFill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0" xfId="0" applyFill="1"/>
    <xf numFmtId="0" fontId="1" fillId="0" borderId="0" xfId="0" applyFont="1"/>
    <xf numFmtId="0" fontId="12" fillId="2" borderId="0" xfId="2" applyFont="1" applyFill="1"/>
    <xf numFmtId="0" fontId="13" fillId="0" borderId="0" xfId="2" applyFont="1"/>
    <xf numFmtId="0" fontId="14" fillId="0" borderId="0" xfId="2" applyFont="1"/>
  </cellXfs>
  <cellStyles count="3">
    <cellStyle name="Hyperlink" xfId="1" builtinId="8"/>
    <cellStyle name="Normal" xfId="0" builtinId="0"/>
    <cellStyle name="Normal 2" xfId="2" xr:uid="{295AA7C8-E8E8-B247-A620-1BE8E6925B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12700</xdr:rowOff>
    </xdr:from>
    <xdr:to>
      <xdr:col>11</xdr:col>
      <xdr:colOff>571500</xdr:colOff>
      <xdr:row>8</xdr:row>
      <xdr:rowOff>26128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0631D2-D86D-FF47-BF9B-1D69C2104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15900"/>
          <a:ext cx="11569700" cy="1435828"/>
        </a:xfrm>
        <a:prstGeom prst="rect">
          <a:avLst/>
        </a:prstGeom>
      </xdr:spPr>
    </xdr:pic>
    <xdr:clientData/>
  </xdr:twoCellAnchor>
  <xdr:twoCellAnchor editAs="oneCell">
    <xdr:from>
      <xdr:col>0</xdr:col>
      <xdr:colOff>38099</xdr:colOff>
      <xdr:row>9</xdr:row>
      <xdr:rowOff>12700</xdr:rowOff>
    </xdr:from>
    <xdr:to>
      <xdr:col>11</xdr:col>
      <xdr:colOff>584200</xdr:colOff>
      <xdr:row>15</xdr:row>
      <xdr:rowOff>214337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647030B-C456-7E4C-BA1C-4AE06276B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99" y="1841500"/>
          <a:ext cx="11544301" cy="1420837"/>
        </a:xfrm>
        <a:prstGeom prst="rect">
          <a:avLst/>
        </a:prstGeom>
      </xdr:spPr>
    </xdr:pic>
    <xdr:clientData/>
  </xdr:twoCellAnchor>
  <xdr:twoCellAnchor editAs="oneCell">
    <xdr:from>
      <xdr:col>0</xdr:col>
      <xdr:colOff>12699</xdr:colOff>
      <xdr:row>17</xdr:row>
      <xdr:rowOff>63500</xdr:rowOff>
    </xdr:from>
    <xdr:to>
      <xdr:col>11</xdr:col>
      <xdr:colOff>609600</xdr:colOff>
      <xdr:row>23</xdr:row>
      <xdr:rowOff>176637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727C76-E16A-894F-A323-8B0FD9B40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699" y="3517900"/>
          <a:ext cx="11595101" cy="1370437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24</xdr:row>
      <xdr:rowOff>190500</xdr:rowOff>
    </xdr:from>
    <xdr:to>
      <xdr:col>11</xdr:col>
      <xdr:colOff>647700</xdr:colOff>
      <xdr:row>31</xdr:row>
      <xdr:rowOff>144481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9FBD7E-1F08-5A46-B5DD-4045B7843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067300"/>
          <a:ext cx="11645899" cy="14144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25400</xdr:rowOff>
    </xdr:from>
    <xdr:to>
      <xdr:col>11</xdr:col>
      <xdr:colOff>679828</xdr:colOff>
      <xdr:row>39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E12618F-14DE-4440-8606-4CE8A0A8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731000"/>
          <a:ext cx="11678028" cy="14224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41</xdr:row>
      <xdr:rowOff>38100</xdr:rowOff>
    </xdr:from>
    <xdr:to>
      <xdr:col>7</xdr:col>
      <xdr:colOff>88900</xdr:colOff>
      <xdr:row>65</xdr:row>
      <xdr:rowOff>32733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0E5B48-BB38-6149-8857-3BB3C8DF3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700" y="8369300"/>
          <a:ext cx="7772400" cy="4871433"/>
        </a:xfrm>
        <a:prstGeom prst="rect">
          <a:avLst/>
        </a:prstGeom>
      </xdr:spPr>
    </xdr:pic>
    <xdr:clientData/>
  </xdr:twoCellAnchor>
  <xdr:twoCellAnchor>
    <xdr:from>
      <xdr:col>0</xdr:col>
      <xdr:colOff>1828800</xdr:colOff>
      <xdr:row>38</xdr:row>
      <xdr:rowOff>101600</xdr:rowOff>
    </xdr:from>
    <xdr:to>
      <xdr:col>2</xdr:col>
      <xdr:colOff>363220</xdr:colOff>
      <xdr:row>64</xdr:row>
      <xdr:rowOff>101600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5B613291-5549-FB4F-AB8D-93F0FC6A72D5}"/>
            </a:ext>
          </a:extLst>
        </xdr:cNvPr>
        <xdr:cNvCxnSpPr/>
      </xdr:nvCxnSpPr>
      <xdr:spPr>
        <a:xfrm flipV="1">
          <a:off x="1828800" y="7823200"/>
          <a:ext cx="2103120" cy="528320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38099</xdr:colOff>
      <xdr:row>14</xdr:row>
      <xdr:rowOff>0</xdr:rowOff>
    </xdr:from>
    <xdr:to>
      <xdr:col>8</xdr:col>
      <xdr:colOff>5754</xdr:colOff>
      <xdr:row>29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17F0D-8CCD-2249-A9C7-56950B5A6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99" y="2844800"/>
          <a:ext cx="6571655" cy="31623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38100</xdr:rowOff>
    </xdr:from>
    <xdr:to>
      <xdr:col>6</xdr:col>
      <xdr:colOff>530984</xdr:colOff>
      <xdr:row>43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EFC25D-5F37-664C-B1A2-35E557FAA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930900"/>
          <a:ext cx="5483984" cy="29591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0</xdr:row>
      <xdr:rowOff>0</xdr:rowOff>
    </xdr:from>
    <xdr:to>
      <xdr:col>6</xdr:col>
      <xdr:colOff>406400</xdr:colOff>
      <xdr:row>14</xdr:row>
      <xdr:rowOff>123816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0C2D41-D9BD-A345-B8E8-09A34F7D4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0"/>
          <a:ext cx="5346700" cy="29686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al/Downloads/Cp%20calcs%202024.01.19.xlsx" TargetMode="External"/><Relationship Id="rId1" Type="http://schemas.openxmlformats.org/officeDocument/2006/relationships/externalLinkPath" Target="/Users/amal/Downloads/Cp%20calcs%202024.01.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al/Desktop/bb-copy%20supplemental%20graphs.xlsx" TargetMode="External"/><Relationship Id="rId1" Type="http://schemas.openxmlformats.org/officeDocument/2006/relationships/externalLinkPath" Target="/Users/amal/Desktop/bb-copy%20supplemental%20graph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4.1 kg (2)"/>
      <sheetName val="16.4 kg (2)"/>
      <sheetName val="4.1 kg"/>
      <sheetName val="16.4 kg"/>
      <sheetName val="Clevidipine"/>
      <sheetName val="Ericsson"/>
      <sheetName val="73 kg"/>
      <sheetName val="Sheet6"/>
      <sheetName val="2COMP"/>
      <sheetName val="3COMP"/>
      <sheetName val="3COMP (C)"/>
      <sheetName val="3COMP (B)"/>
      <sheetName val="BP PK (3)"/>
      <sheetName val="BP PK 2.5 STEP"/>
      <sheetName val="Sheet9"/>
      <sheetName val="Sheet15"/>
      <sheetName val="Sheet5"/>
      <sheetName val="Sheet4"/>
      <sheetName val="BP PK 5 STEP (2)"/>
      <sheetName val="BP PK 10 STEP (3)"/>
      <sheetName val="BP PK 20 STEP (4)"/>
      <sheetName val="BP PK (4)"/>
      <sheetName val="Sheet11"/>
      <sheetName val="Sheet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0">
          <cell r="S40">
            <v>0.1</v>
          </cell>
        </row>
        <row r="41">
          <cell r="S41">
            <v>0.1</v>
          </cell>
        </row>
        <row r="42">
          <cell r="S42">
            <v>0.01</v>
          </cell>
        </row>
      </sheetData>
      <sheetData sheetId="9">
        <row r="26">
          <cell r="J26">
            <v>3.0000000000000001E-3</v>
          </cell>
        </row>
        <row r="27">
          <cell r="J27">
            <v>3.0000000000000001E-3</v>
          </cell>
        </row>
      </sheetData>
      <sheetData sheetId="10" refreshError="1"/>
      <sheetData sheetId="11" refreshError="1"/>
      <sheetData sheetId="12" refreshError="1"/>
      <sheetData sheetId="13">
        <row r="14">
          <cell r="B14">
            <v>2.5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AMETERS"/>
      <sheetName val="BB ALL flows and T-half"/>
      <sheetName val="4.57 KG, 5 MIN, NOR COPY (2)"/>
      <sheetName val="4.57 KG, 5 MIN, NOREPI."/>
      <sheetName val="18.31 KG, 5 MIN, EPI."/>
      <sheetName val="73 KG, 5 MIN, VASOPRESS."/>
    </sheetNames>
    <sheetDataSet>
      <sheetData sheetId="0" refreshError="1"/>
      <sheetData sheetId="1">
        <row r="2">
          <cell r="C2">
            <v>2.7777777777777779E-3</v>
          </cell>
        </row>
        <row r="8">
          <cell r="A8">
            <v>4.57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ailymed.nlm.nih.gov/dailymed/fda/fdaDrugXsl.cfm?setid=f5f03364-e71c-9bcd-e053-2995a90a8ada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D2A3-32FB-7D4D-84ED-6DFD55B105C1}">
  <dimension ref="A1:Q67"/>
  <sheetViews>
    <sheetView tabSelected="1" zoomScale="93" workbookViewId="0">
      <selection activeCell="M6" sqref="M6:M7"/>
    </sheetView>
  </sheetViews>
  <sheetFormatPr baseColWidth="10" defaultRowHeight="16" x14ac:dyDescent="0.2"/>
  <cols>
    <col min="1" max="1" width="36" customWidth="1"/>
    <col min="13" max="13" width="44.5" customWidth="1"/>
    <col min="14" max="15" width="54.5" customWidth="1"/>
  </cols>
  <sheetData>
    <row r="1" spans="1:15" x14ac:dyDescent="0.2">
      <c r="A1" s="1" t="s">
        <v>0</v>
      </c>
      <c r="C1" s="23"/>
    </row>
    <row r="9" spans="1:15" x14ac:dyDescent="0.2">
      <c r="A9" s="2" t="s">
        <v>1</v>
      </c>
    </row>
    <row r="16" spans="1:15" ht="19" x14ac:dyDescent="0.25">
      <c r="M16" s="20" t="s">
        <v>2</v>
      </c>
      <c r="N16" s="20"/>
      <c r="O16" s="20"/>
    </row>
    <row r="17" spans="1:17" x14ac:dyDescent="0.2">
      <c r="A17" s="4" t="s">
        <v>3</v>
      </c>
    </row>
    <row r="19" spans="1:17" ht="19" x14ac:dyDescent="0.25">
      <c r="M19" s="19" t="s">
        <v>35</v>
      </c>
      <c r="N19" s="19" t="s">
        <v>32</v>
      </c>
      <c r="O19" s="19" t="s">
        <v>33</v>
      </c>
      <c r="Q19" s="3"/>
    </row>
    <row r="20" spans="1:17" x14ac:dyDescent="0.2">
      <c r="M20" s="3">
        <v>3</v>
      </c>
      <c r="N20">
        <f xml:space="preserve"> LN(2) * 8.8</f>
        <v>6.0996951889275186</v>
      </c>
      <c r="O20">
        <f>N20/M20</f>
        <v>2.0332317296425062</v>
      </c>
      <c r="P20" s="22" t="s">
        <v>34</v>
      </c>
      <c r="Q20" s="3"/>
    </row>
    <row r="21" spans="1:17" x14ac:dyDescent="0.2">
      <c r="M21" s="3">
        <v>4</v>
      </c>
      <c r="N21" s="3"/>
      <c r="O21">
        <f>N20/M21</f>
        <v>1.5249237972318797</v>
      </c>
      <c r="Q21" s="3"/>
    </row>
    <row r="22" spans="1:17" x14ac:dyDescent="0.2">
      <c r="M22" s="3">
        <v>5</v>
      </c>
      <c r="N22" s="3"/>
      <c r="O22" s="21">
        <f>N20/M22</f>
        <v>1.2199390377855037</v>
      </c>
      <c r="P22" s="22" t="s">
        <v>34</v>
      </c>
      <c r="Q22" s="3"/>
    </row>
    <row r="25" spans="1:17" ht="19" x14ac:dyDescent="0.25">
      <c r="A25" s="5" t="s">
        <v>4</v>
      </c>
      <c r="M25" s="19" t="s">
        <v>36</v>
      </c>
      <c r="N25" s="19" t="s">
        <v>32</v>
      </c>
      <c r="O25" s="19" t="s">
        <v>33</v>
      </c>
      <c r="Q25" s="6"/>
    </row>
    <row r="26" spans="1:17" x14ac:dyDescent="0.2">
      <c r="M26" s="3">
        <v>3</v>
      </c>
      <c r="N26">
        <f>LN(2)*0.7</f>
        <v>0.48520302639196167</v>
      </c>
      <c r="O26" s="21">
        <f>N26/M26</f>
        <v>0.16173434213065388</v>
      </c>
      <c r="P26" s="22" t="s">
        <v>34</v>
      </c>
      <c r="Q26" s="6"/>
    </row>
    <row r="27" spans="1:17" x14ac:dyDescent="0.2">
      <c r="M27" s="3">
        <v>6</v>
      </c>
      <c r="N27" s="3"/>
      <c r="O27" s="21">
        <f>N26/M27</f>
        <v>8.086717106532694E-2</v>
      </c>
      <c r="Q27" s="6"/>
    </row>
    <row r="28" spans="1:17" x14ac:dyDescent="0.2">
      <c r="M28" s="3">
        <v>10</v>
      </c>
      <c r="N28" s="3"/>
      <c r="O28" s="21">
        <f>N26/M28</f>
        <v>4.8520302639196169E-2</v>
      </c>
      <c r="P28" s="22" t="s">
        <v>34</v>
      </c>
      <c r="Q28" s="6"/>
    </row>
    <row r="33" spans="1:17" x14ac:dyDescent="0.2">
      <c r="A33" s="7" t="s">
        <v>5</v>
      </c>
    </row>
    <row r="35" spans="1:17" ht="19" x14ac:dyDescent="0.25">
      <c r="M35" s="19" t="s">
        <v>37</v>
      </c>
      <c r="N35" s="19" t="s">
        <v>32</v>
      </c>
      <c r="O35" s="19" t="s">
        <v>33</v>
      </c>
      <c r="Q35" s="6"/>
    </row>
    <row r="36" spans="1:17" x14ac:dyDescent="0.2">
      <c r="M36" s="3">
        <v>10</v>
      </c>
      <c r="N36">
        <f>LN(2)*0.2</f>
        <v>0.13862943611198905</v>
      </c>
      <c r="O36" s="3">
        <f>N36/M36</f>
        <v>1.3862943611198905E-2</v>
      </c>
      <c r="P36" s="22" t="s">
        <v>34</v>
      </c>
      <c r="Q36" s="6"/>
    </row>
    <row r="37" spans="1:17" x14ac:dyDescent="0.2">
      <c r="M37" s="3">
        <v>20</v>
      </c>
      <c r="N37" s="3"/>
      <c r="O37" s="3">
        <f>N36/M37</f>
        <v>6.9314718055994524E-3</v>
      </c>
      <c r="Q37" s="6"/>
    </row>
    <row r="38" spans="1:17" x14ac:dyDescent="0.2">
      <c r="M38" s="3">
        <v>35</v>
      </c>
      <c r="N38" s="3"/>
      <c r="O38" s="3">
        <f>N36/M38</f>
        <v>3.9608410317711158E-3</v>
      </c>
      <c r="P38" s="22" t="s">
        <v>34</v>
      </c>
      <c r="Q38" s="6"/>
    </row>
    <row r="67" spans="1:1" x14ac:dyDescent="0.2">
      <c r="A67" s="8" t="s">
        <v>6</v>
      </c>
    </row>
  </sheetData>
  <hyperlinks>
    <hyperlink ref="A67" r:id="rId1" xr:uid="{34168EE8-6781-0445-A41C-05AB6AB00B43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94E8-9017-5A4F-8A59-ABB1E0065A9F}">
  <dimension ref="A1:K65"/>
  <sheetViews>
    <sheetView topLeftCell="A62" zoomScale="75" workbookViewId="0">
      <selection activeCell="K21" sqref="K21"/>
    </sheetView>
  </sheetViews>
  <sheetFormatPr baseColWidth="10" defaultColWidth="8.83203125" defaultRowHeight="15" x14ac:dyDescent="0.2"/>
  <cols>
    <col min="1" max="1" width="35" style="9" customWidth="1"/>
    <col min="2" max="3" width="8.83203125" style="9"/>
    <col min="4" max="4" width="11.1640625" style="9" bestFit="1" customWidth="1"/>
    <col min="5" max="5" width="15.33203125" style="10" bestFit="1" customWidth="1"/>
    <col min="6" max="6" width="16" style="10" bestFit="1" customWidth="1"/>
    <col min="7" max="7" width="8.83203125" style="9"/>
    <col min="8" max="8" width="11.1640625" style="14" bestFit="1" customWidth="1"/>
    <col min="9" max="9" width="15.33203125" style="13" bestFit="1" customWidth="1"/>
    <col min="10" max="10" width="16" style="13" bestFit="1" customWidth="1"/>
    <col min="11" max="11" width="34.5" style="9" customWidth="1"/>
    <col min="12" max="16384" width="8.83203125" style="9"/>
  </cols>
  <sheetData>
    <row r="1" spans="1:11" x14ac:dyDescent="0.2">
      <c r="H1" s="9"/>
      <c r="I1" s="10"/>
      <c r="J1" s="10"/>
    </row>
    <row r="2" spans="1:11" x14ac:dyDescent="0.2">
      <c r="A2" s="15" t="s">
        <v>27</v>
      </c>
      <c r="H2" s="9"/>
      <c r="I2" s="10"/>
      <c r="J2" s="10"/>
    </row>
    <row r="3" spans="1:11" x14ac:dyDescent="0.2">
      <c r="A3" s="11" t="s">
        <v>7</v>
      </c>
      <c r="D3" s="11" t="s">
        <v>8</v>
      </c>
      <c r="H3" s="12" t="s">
        <v>9</v>
      </c>
    </row>
    <row r="4" spans="1:11" x14ac:dyDescent="0.2">
      <c r="A4" s="9" t="s">
        <v>10</v>
      </c>
      <c r="D4" s="9" t="s">
        <v>11</v>
      </c>
      <c r="H4" s="24" t="s">
        <v>12</v>
      </c>
    </row>
    <row r="5" spans="1:11" x14ac:dyDescent="0.2">
      <c r="E5" s="10" t="s">
        <v>13</v>
      </c>
      <c r="F5" s="10" t="s">
        <v>14</v>
      </c>
      <c r="I5" s="13" t="s">
        <v>13</v>
      </c>
      <c r="J5" s="13" t="s">
        <v>14</v>
      </c>
    </row>
    <row r="6" spans="1:11" x14ac:dyDescent="0.2">
      <c r="E6" s="10">
        <v>0.5</v>
      </c>
      <c r="F6" s="10">
        <v>3.75</v>
      </c>
      <c r="I6" s="13">
        <v>0.5</v>
      </c>
      <c r="J6" s="13">
        <v>0.9375</v>
      </c>
    </row>
    <row r="7" spans="1:11" x14ac:dyDescent="0.2">
      <c r="E7" s="10">
        <v>1</v>
      </c>
      <c r="F7" s="10">
        <v>7.5</v>
      </c>
      <c r="I7" s="13">
        <v>1</v>
      </c>
      <c r="J7" s="13">
        <v>1.875</v>
      </c>
    </row>
    <row r="8" spans="1:11" x14ac:dyDescent="0.2">
      <c r="E8" s="10">
        <v>2</v>
      </c>
      <c r="F8" s="10">
        <v>15</v>
      </c>
      <c r="I8" s="13">
        <v>2</v>
      </c>
      <c r="J8" s="13">
        <v>3.75</v>
      </c>
    </row>
    <row r="9" spans="1:11" x14ac:dyDescent="0.2">
      <c r="E9" s="10">
        <v>4</v>
      </c>
      <c r="F9" s="10">
        <v>30</v>
      </c>
      <c r="I9" s="13">
        <v>4</v>
      </c>
      <c r="J9" s="13">
        <v>7.5</v>
      </c>
    </row>
    <row r="10" spans="1:11" x14ac:dyDescent="0.2">
      <c r="E10" s="10">
        <v>6</v>
      </c>
      <c r="F10" s="10">
        <v>45</v>
      </c>
      <c r="I10" s="13">
        <v>6</v>
      </c>
      <c r="J10" s="13">
        <v>11.25</v>
      </c>
    </row>
    <row r="11" spans="1:11" x14ac:dyDescent="0.2">
      <c r="E11" s="10">
        <v>8</v>
      </c>
      <c r="F11" s="10">
        <v>60</v>
      </c>
      <c r="I11" s="13">
        <v>8</v>
      </c>
      <c r="J11" s="13">
        <v>15</v>
      </c>
    </row>
    <row r="12" spans="1:11" x14ac:dyDescent="0.2">
      <c r="E12" s="10">
        <v>12</v>
      </c>
      <c r="F12" s="10">
        <v>90</v>
      </c>
      <c r="I12" s="13">
        <v>12</v>
      </c>
      <c r="J12" s="13">
        <v>30</v>
      </c>
    </row>
    <row r="16" spans="1:11" x14ac:dyDescent="0.2">
      <c r="A16" s="9" t="s">
        <v>15</v>
      </c>
      <c r="D16" s="9" t="s">
        <v>16</v>
      </c>
      <c r="H16" s="24" t="s">
        <v>12</v>
      </c>
      <c r="K16" s="25" t="s">
        <v>38</v>
      </c>
    </row>
    <row r="17" spans="1:11" x14ac:dyDescent="0.2">
      <c r="E17" s="10" t="s">
        <v>13</v>
      </c>
      <c r="F17" s="10" t="s">
        <v>14</v>
      </c>
      <c r="I17" s="13" t="s">
        <v>13</v>
      </c>
      <c r="J17" s="13" t="s">
        <v>14</v>
      </c>
      <c r="K17" s="26" t="s">
        <v>39</v>
      </c>
    </row>
    <row r="18" spans="1:11" x14ac:dyDescent="0.2">
      <c r="E18" s="10">
        <v>1</v>
      </c>
      <c r="F18" s="10">
        <v>3.75</v>
      </c>
      <c r="I18" s="13">
        <v>1</v>
      </c>
      <c r="J18" s="13">
        <v>1.875</v>
      </c>
      <c r="K18" s="14" t="s">
        <v>40</v>
      </c>
    </row>
    <row r="19" spans="1:11" x14ac:dyDescent="0.2">
      <c r="E19" s="10">
        <v>2</v>
      </c>
      <c r="F19" s="10">
        <v>7.5</v>
      </c>
      <c r="I19" s="13">
        <v>2</v>
      </c>
      <c r="J19" s="13">
        <v>3.75</v>
      </c>
      <c r="K19" s="14" t="s">
        <v>42</v>
      </c>
    </row>
    <row r="20" spans="1:11" x14ac:dyDescent="0.2">
      <c r="E20" s="10">
        <v>4</v>
      </c>
      <c r="F20" s="10">
        <v>15</v>
      </c>
      <c r="I20" s="13">
        <v>4</v>
      </c>
      <c r="J20" s="13">
        <v>7.5</v>
      </c>
      <c r="K20" s="14" t="s">
        <v>41</v>
      </c>
    </row>
    <row r="21" spans="1:11" x14ac:dyDescent="0.2">
      <c r="E21" s="10">
        <v>8</v>
      </c>
      <c r="F21" s="10">
        <v>30</v>
      </c>
      <c r="I21" s="13">
        <v>8</v>
      </c>
      <c r="J21" s="13">
        <v>15</v>
      </c>
    </row>
    <row r="22" spans="1:11" x14ac:dyDescent="0.2">
      <c r="E22" s="10">
        <v>10</v>
      </c>
      <c r="F22" s="10">
        <v>37.5</v>
      </c>
      <c r="I22" s="13">
        <v>10</v>
      </c>
      <c r="J22" s="13">
        <v>18.75</v>
      </c>
    </row>
    <row r="23" spans="1:11" x14ac:dyDescent="0.2">
      <c r="E23" s="10">
        <v>12</v>
      </c>
      <c r="F23" s="10">
        <v>45</v>
      </c>
      <c r="I23" s="13">
        <v>12</v>
      </c>
      <c r="J23" s="13">
        <v>22.5</v>
      </c>
    </row>
    <row r="26" spans="1:11" x14ac:dyDescent="0.2">
      <c r="A26" s="9" t="s">
        <v>17</v>
      </c>
      <c r="D26" s="9" t="s">
        <v>18</v>
      </c>
    </row>
    <row r="27" spans="1:11" x14ac:dyDescent="0.2">
      <c r="E27" s="10" t="s">
        <v>19</v>
      </c>
      <c r="F27" s="10" t="s">
        <v>14</v>
      </c>
      <c r="I27" s="13" t="s">
        <v>19</v>
      </c>
      <c r="J27" s="13" t="s">
        <v>14</v>
      </c>
    </row>
    <row r="28" spans="1:11" x14ac:dyDescent="0.2">
      <c r="E28" s="10">
        <v>0.04</v>
      </c>
      <c r="F28" s="10">
        <v>2.4</v>
      </c>
      <c r="I28" s="13">
        <v>0.04</v>
      </c>
      <c r="J28" s="13">
        <v>2.4</v>
      </c>
    </row>
    <row r="29" spans="1:11" x14ac:dyDescent="0.2">
      <c r="E29" s="10">
        <v>0.08</v>
      </c>
      <c r="F29" s="10">
        <v>4.8</v>
      </c>
      <c r="I29" s="13">
        <v>0.08</v>
      </c>
      <c r="J29" s="13">
        <v>4.8</v>
      </c>
    </row>
    <row r="30" spans="1:11" x14ac:dyDescent="0.2">
      <c r="E30" s="10">
        <v>0.1</v>
      </c>
      <c r="F30" s="10">
        <v>6</v>
      </c>
      <c r="I30" s="13">
        <v>0.1</v>
      </c>
      <c r="J30" s="13">
        <v>6</v>
      </c>
    </row>
    <row r="31" spans="1:11" x14ac:dyDescent="0.2">
      <c r="E31" s="10">
        <v>0.2</v>
      </c>
      <c r="F31" s="10">
        <v>12</v>
      </c>
      <c r="I31" s="13">
        <v>0.2</v>
      </c>
      <c r="J31" s="13">
        <v>12</v>
      </c>
    </row>
    <row r="32" spans="1:11" x14ac:dyDescent="0.2">
      <c r="E32" s="10">
        <v>0.4</v>
      </c>
      <c r="F32" s="10">
        <v>24</v>
      </c>
      <c r="I32" s="13">
        <v>0.4</v>
      </c>
      <c r="J32" s="13">
        <v>24</v>
      </c>
    </row>
    <row r="35" spans="1:10" x14ac:dyDescent="0.2">
      <c r="A35" s="9" t="s">
        <v>20</v>
      </c>
      <c r="D35" s="9" t="s">
        <v>21</v>
      </c>
      <c r="H35" s="14" t="s">
        <v>21</v>
      </c>
    </row>
    <row r="36" spans="1:10" x14ac:dyDescent="0.2">
      <c r="E36" s="10" t="s">
        <v>13</v>
      </c>
      <c r="F36" s="10" t="s">
        <v>14</v>
      </c>
      <c r="I36" s="13" t="s">
        <v>13</v>
      </c>
      <c r="J36" s="13" t="s">
        <v>14</v>
      </c>
    </row>
    <row r="37" spans="1:10" x14ac:dyDescent="0.2">
      <c r="E37" s="10">
        <v>20</v>
      </c>
      <c r="F37" s="10">
        <v>3</v>
      </c>
      <c r="I37" s="13">
        <v>20</v>
      </c>
      <c r="J37" s="13">
        <v>3</v>
      </c>
    </row>
    <row r="38" spans="1:10" x14ac:dyDescent="0.2">
      <c r="E38" s="10">
        <v>30</v>
      </c>
      <c r="F38" s="10">
        <v>4.5</v>
      </c>
      <c r="I38" s="13">
        <v>30</v>
      </c>
      <c r="J38" s="13">
        <v>4.5</v>
      </c>
    </row>
    <row r="39" spans="1:10" x14ac:dyDescent="0.2">
      <c r="E39" s="10">
        <v>40</v>
      </c>
      <c r="F39" s="10">
        <v>6</v>
      </c>
      <c r="I39" s="13">
        <v>40</v>
      </c>
      <c r="J39" s="13">
        <v>6</v>
      </c>
    </row>
    <row r="40" spans="1:10" x14ac:dyDescent="0.2">
      <c r="E40" s="10">
        <v>60</v>
      </c>
      <c r="F40" s="10">
        <v>9</v>
      </c>
      <c r="I40" s="13">
        <v>60</v>
      </c>
      <c r="J40" s="13">
        <v>9</v>
      </c>
    </row>
    <row r="41" spans="1:10" x14ac:dyDescent="0.2">
      <c r="E41" s="10">
        <v>80</v>
      </c>
      <c r="F41" s="10">
        <v>12</v>
      </c>
      <c r="I41" s="13">
        <v>80</v>
      </c>
      <c r="J41" s="13">
        <v>12</v>
      </c>
    </row>
    <row r="42" spans="1:10" x14ac:dyDescent="0.2">
      <c r="E42" s="10">
        <v>100</v>
      </c>
      <c r="F42" s="10">
        <v>15</v>
      </c>
      <c r="I42" s="13">
        <v>100</v>
      </c>
      <c r="J42" s="13">
        <v>15</v>
      </c>
    </row>
    <row r="43" spans="1:10" x14ac:dyDescent="0.2">
      <c r="E43" s="10">
        <v>120</v>
      </c>
      <c r="F43" s="10">
        <v>18</v>
      </c>
      <c r="I43" s="13">
        <v>120</v>
      </c>
      <c r="J43" s="13">
        <v>18</v>
      </c>
    </row>
    <row r="47" spans="1:10" x14ac:dyDescent="0.2">
      <c r="A47" s="9" t="s">
        <v>22</v>
      </c>
      <c r="D47" s="9" t="s">
        <v>23</v>
      </c>
    </row>
    <row r="48" spans="1:10" x14ac:dyDescent="0.2">
      <c r="E48" s="10" t="s">
        <v>24</v>
      </c>
      <c r="F48" s="10" t="s">
        <v>14</v>
      </c>
      <c r="I48" s="13" t="s">
        <v>24</v>
      </c>
      <c r="J48" s="13" t="s">
        <v>14</v>
      </c>
    </row>
    <row r="49" spans="1:10" x14ac:dyDescent="0.2">
      <c r="E49" s="10">
        <v>0.5</v>
      </c>
      <c r="F49" s="10">
        <v>1</v>
      </c>
      <c r="I49" s="13">
        <v>0.5</v>
      </c>
      <c r="J49" s="13">
        <v>1</v>
      </c>
    </row>
    <row r="50" spans="1:10" x14ac:dyDescent="0.2">
      <c r="E50" s="10">
        <v>1</v>
      </c>
      <c r="F50" s="10">
        <v>2</v>
      </c>
      <c r="I50" s="13">
        <v>1</v>
      </c>
      <c r="J50" s="13">
        <v>2</v>
      </c>
    </row>
    <row r="51" spans="1:10" x14ac:dyDescent="0.2">
      <c r="E51" s="10">
        <v>2</v>
      </c>
      <c r="F51" s="10">
        <v>4</v>
      </c>
      <c r="I51" s="13">
        <v>2</v>
      </c>
      <c r="J51" s="13">
        <v>4</v>
      </c>
    </row>
    <row r="52" spans="1:10" x14ac:dyDescent="0.2">
      <c r="E52" s="10">
        <v>4</v>
      </c>
      <c r="F52" s="10">
        <v>8</v>
      </c>
      <c r="I52" s="13">
        <v>4</v>
      </c>
      <c r="J52" s="13">
        <v>8</v>
      </c>
    </row>
    <row r="53" spans="1:10" x14ac:dyDescent="0.2">
      <c r="E53" s="10">
        <v>8</v>
      </c>
      <c r="F53" s="10">
        <v>16</v>
      </c>
      <c r="I53" s="13">
        <v>8</v>
      </c>
      <c r="J53" s="13">
        <v>16</v>
      </c>
    </row>
    <row r="54" spans="1:10" x14ac:dyDescent="0.2">
      <c r="E54" s="10">
        <v>10</v>
      </c>
      <c r="F54" s="10">
        <v>20</v>
      </c>
      <c r="I54" s="13">
        <v>10</v>
      </c>
      <c r="J54" s="13">
        <v>20</v>
      </c>
    </row>
    <row r="55" spans="1:10" x14ac:dyDescent="0.2">
      <c r="E55" s="10">
        <v>12</v>
      </c>
      <c r="F55" s="10">
        <v>24</v>
      </c>
      <c r="I55" s="13">
        <v>12</v>
      </c>
      <c r="J55" s="13">
        <v>24</v>
      </c>
    </row>
    <row r="56" spans="1:10" x14ac:dyDescent="0.2">
      <c r="E56" s="10">
        <v>16</v>
      </c>
      <c r="F56" s="10">
        <v>32</v>
      </c>
      <c r="I56" s="13">
        <v>16</v>
      </c>
      <c r="J56" s="13">
        <v>32</v>
      </c>
    </row>
    <row r="59" spans="1:10" x14ac:dyDescent="0.2">
      <c r="A59" s="9" t="s">
        <v>25</v>
      </c>
      <c r="D59" s="9" t="s">
        <v>26</v>
      </c>
    </row>
    <row r="60" spans="1:10" x14ac:dyDescent="0.2">
      <c r="E60" s="10" t="s">
        <v>24</v>
      </c>
      <c r="F60" s="10" t="s">
        <v>14</v>
      </c>
      <c r="I60" s="13" t="s">
        <v>24</v>
      </c>
      <c r="J60" s="13" t="s">
        <v>14</v>
      </c>
    </row>
    <row r="61" spans="1:10" x14ac:dyDescent="0.2">
      <c r="E61" s="10">
        <v>2</v>
      </c>
      <c r="F61" s="10">
        <v>8</v>
      </c>
      <c r="I61" s="13">
        <v>2</v>
      </c>
      <c r="J61" s="13">
        <v>8</v>
      </c>
    </row>
    <row r="62" spans="1:10" x14ac:dyDescent="0.2">
      <c r="E62" s="10">
        <v>4</v>
      </c>
      <c r="F62" s="10">
        <v>16</v>
      </c>
      <c r="I62" s="13">
        <v>4</v>
      </c>
      <c r="J62" s="13">
        <v>16</v>
      </c>
    </row>
    <row r="63" spans="1:10" x14ac:dyDescent="0.2">
      <c r="E63" s="10">
        <v>6</v>
      </c>
      <c r="F63" s="10">
        <v>24</v>
      </c>
      <c r="I63" s="13">
        <v>6</v>
      </c>
      <c r="J63" s="13">
        <v>24</v>
      </c>
    </row>
    <row r="64" spans="1:10" x14ac:dyDescent="0.2">
      <c r="E64" s="10">
        <v>8</v>
      </c>
      <c r="F64" s="10">
        <v>32</v>
      </c>
      <c r="I64" s="13">
        <v>8</v>
      </c>
      <c r="J64" s="13">
        <v>32</v>
      </c>
    </row>
    <row r="65" spans="5:10" x14ac:dyDescent="0.2">
      <c r="E65" s="10">
        <v>10</v>
      </c>
      <c r="F65" s="10">
        <v>40</v>
      </c>
      <c r="I65" s="13">
        <v>10</v>
      </c>
      <c r="J65" s="13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CEFF3-B434-0A49-9A3F-EE3206ECC874}">
  <dimension ref="H1:N2"/>
  <sheetViews>
    <sheetView workbookViewId="0">
      <selection activeCell="L2" sqref="L2"/>
    </sheetView>
  </sheetViews>
  <sheetFormatPr baseColWidth="10" defaultRowHeight="16" x14ac:dyDescent="0.2"/>
  <cols>
    <col min="9" max="9" width="21.6640625" customWidth="1"/>
    <col min="10" max="10" width="13" customWidth="1"/>
    <col min="11" max="11" width="16.33203125" customWidth="1"/>
    <col min="12" max="12" width="17" customWidth="1"/>
    <col min="13" max="13" width="10.83203125" customWidth="1"/>
  </cols>
  <sheetData>
    <row r="1" spans="8:14" x14ac:dyDescent="0.2">
      <c r="H1" s="18" t="s">
        <v>31</v>
      </c>
      <c r="I1" s="16" t="s">
        <v>28</v>
      </c>
      <c r="J1" t="s">
        <v>29</v>
      </c>
      <c r="K1" t="s">
        <v>20</v>
      </c>
      <c r="L1" t="s">
        <v>15</v>
      </c>
      <c r="M1" t="s">
        <v>10</v>
      </c>
      <c r="N1" t="s">
        <v>17</v>
      </c>
    </row>
    <row r="2" spans="8:14" x14ac:dyDescent="0.2">
      <c r="I2" s="16" t="s">
        <v>30</v>
      </c>
      <c r="J2">
        <v>1096</v>
      </c>
      <c r="K2" s="17">
        <v>4404000</v>
      </c>
      <c r="L2" s="17">
        <v>189.15</v>
      </c>
      <c r="M2" s="17">
        <v>109.17</v>
      </c>
      <c r="N2" s="17">
        <v>1.75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Dose rates</vt:lpstr>
      <vt:lpstr>Conversions &amp; 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Adam, Amal Mohamoud</dc:creator>
  <cp:lastModifiedBy>Adam, Amal Mohamoud</cp:lastModifiedBy>
  <dcterms:created xsi:type="dcterms:W3CDTF">2024-10-11T16:07:09Z</dcterms:created>
  <dcterms:modified xsi:type="dcterms:W3CDTF">2024-12-11T22:03:35Z</dcterms:modified>
</cp:coreProperties>
</file>