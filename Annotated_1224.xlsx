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ladam/Desktop/"/>
    </mc:Choice>
  </mc:AlternateContent>
  <xr:revisionPtr revIDLastSave="0" documentId="13_ncr:1_{0670A17C-A3BB-054D-B275-17FB87431740}" xr6:coauthVersionLast="47" xr6:coauthVersionMax="47" xr10:uidLastSave="{00000000-0000-0000-0000-000000000000}"/>
  <bookViews>
    <workbookView xWindow="3740" yWindow="2260" windowWidth="18780" windowHeight="14220" xr2:uid="{37F98FBC-34BE-AB49-9A49-5E1402AFB01C}"/>
  </bookViews>
  <sheets>
    <sheet name="Final" sheetId="2" r:id="rId1"/>
  </sheets>
  <definedNames>
    <definedName name="Tsamp" localSheetId="0">Final!$C$2</definedName>
    <definedName name="Wtkg" localSheetId="0">Final!$A$7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Q5" i="2"/>
  <c r="P5" i="2"/>
  <c r="O5" i="2"/>
  <c r="A7" i="2"/>
  <c r="G6" i="2" s="1"/>
  <c r="G3" i="2"/>
  <c r="C2" i="2"/>
  <c r="O6" i="2" l="1"/>
  <c r="M5" i="2"/>
  <c r="P6" i="2"/>
  <c r="N6" i="2"/>
  <c r="N5" i="2"/>
  <c r="Q6" i="2"/>
  <c r="H61" i="2"/>
  <c r="H53" i="2"/>
  <c r="G5" i="2"/>
  <c r="G7" i="2" s="1"/>
  <c r="G8" i="2" s="1"/>
  <c r="F12" i="2"/>
  <c r="H15" i="2"/>
  <c r="H37" i="2"/>
  <c r="H40" i="2"/>
  <c r="H45" i="2"/>
  <c r="H705" i="2"/>
  <c r="H689" i="2"/>
  <c r="H673" i="2"/>
  <c r="H762" i="2"/>
  <c r="H760" i="2"/>
  <c r="H754" i="2"/>
  <c r="H752" i="2"/>
  <c r="H746" i="2"/>
  <c r="H744" i="2"/>
  <c r="H738" i="2"/>
  <c r="H736" i="2"/>
  <c r="H730" i="2"/>
  <c r="H728" i="2"/>
  <c r="H722" i="2"/>
  <c r="H720" i="2"/>
  <c r="H714" i="2"/>
  <c r="H706" i="2"/>
  <c r="H690" i="2"/>
  <c r="H674" i="2"/>
  <c r="H657" i="2"/>
  <c r="H753" i="2"/>
  <c r="H737" i="2"/>
  <c r="H721" i="2"/>
  <c r="H665" i="2"/>
  <c r="H659" i="2"/>
  <c r="H645" i="2"/>
  <c r="H629" i="2"/>
  <c r="H612" i="2"/>
  <c r="H704" i="2"/>
  <c r="H688" i="2"/>
  <c r="H653" i="2"/>
  <c r="H636" i="2"/>
  <c r="H604" i="2"/>
  <c r="H763" i="2"/>
  <c r="H747" i="2"/>
  <c r="H731" i="2"/>
  <c r="H715" i="2"/>
  <c r="H697" i="2"/>
  <c r="H695" i="2"/>
  <c r="H682" i="2"/>
  <c r="H652" i="2"/>
  <c r="H647" i="2"/>
  <c r="H739" i="2"/>
  <c r="H644" i="2"/>
  <c r="H637" i="2"/>
  <c r="H619" i="2"/>
  <c r="H596" i="2"/>
  <c r="H586" i="2"/>
  <c r="H581" i="2"/>
  <c r="H562" i="2"/>
  <c r="H761" i="2"/>
  <c r="H729" i="2"/>
  <c r="H700" i="2"/>
  <c r="H615" i="2"/>
  <c r="H579" i="2"/>
  <c r="H711" i="2"/>
  <c r="H666" i="2"/>
  <c r="H628" i="2"/>
  <c r="H601" i="2"/>
  <c r="H594" i="2"/>
  <c r="H658" i="2"/>
  <c r="H631" i="2"/>
  <c r="H625" i="2"/>
  <c r="H623" i="2"/>
  <c r="H602" i="2"/>
  <c r="H578" i="2"/>
  <c r="H564" i="2"/>
  <c r="H520" i="2"/>
  <c r="H510" i="2"/>
  <c r="H654" i="2"/>
  <c r="H568" i="2"/>
  <c r="H479" i="2"/>
  <c r="H713" i="2"/>
  <c r="H698" i="2"/>
  <c r="H606" i="2"/>
  <c r="H577" i="2"/>
  <c r="H570" i="2"/>
  <c r="H528" i="2"/>
  <c r="H518" i="2"/>
  <c r="H723" i="2"/>
  <c r="H638" i="2"/>
  <c r="H634" i="2"/>
  <c r="H687" i="2"/>
  <c r="H755" i="2"/>
  <c r="H681" i="2"/>
  <c r="H672" i="2"/>
  <c r="H651" i="2"/>
  <c r="H610" i="2"/>
  <c r="H595" i="2"/>
  <c r="H573" i="2"/>
  <c r="H560" i="2"/>
  <c r="H558" i="2"/>
  <c r="H552" i="2"/>
  <c r="H550" i="2"/>
  <c r="H544" i="2"/>
  <c r="H542" i="2"/>
  <c r="H536" i="2"/>
  <c r="H534" i="2"/>
  <c r="H527" i="2"/>
  <c r="H496" i="2"/>
  <c r="H487" i="2"/>
  <c r="H482" i="2"/>
  <c r="H745" i="2"/>
  <c r="H668" i="2"/>
  <c r="H620" i="2"/>
  <c r="H585" i="2"/>
  <c r="H512" i="2"/>
  <c r="H509" i="2"/>
  <c r="H486" i="2"/>
  <c r="H477" i="2"/>
  <c r="H473" i="2"/>
  <c r="H456" i="2"/>
  <c r="H424" i="2"/>
  <c r="H392" i="2"/>
  <c r="H375" i="2"/>
  <c r="H351" i="2"/>
  <c r="H559" i="2"/>
  <c r="H543" i="2"/>
  <c r="H503" i="2"/>
  <c r="H471" i="2"/>
  <c r="H449" i="2"/>
  <c r="H439" i="2"/>
  <c r="H417" i="2"/>
  <c r="H407" i="2"/>
  <c r="H588" i="2"/>
  <c r="H549" i="2"/>
  <c r="H533" i="2"/>
  <c r="H511" i="2"/>
  <c r="H490" i="2"/>
  <c r="H481" i="2"/>
  <c r="H464" i="2"/>
  <c r="H432" i="2"/>
  <c r="H400" i="2"/>
  <c r="H376" i="2"/>
  <c r="H343" i="2"/>
  <c r="H529" i="2"/>
  <c r="H526" i="2"/>
  <c r="H504" i="2"/>
  <c r="H495" i="2"/>
  <c r="H463" i="2"/>
  <c r="H458" i="2"/>
  <c r="H441" i="2"/>
  <c r="H431" i="2"/>
  <c r="H426" i="2"/>
  <c r="H409" i="2"/>
  <c r="H399" i="2"/>
  <c r="H394" i="2"/>
  <c r="H519" i="2"/>
  <c r="H485" i="2"/>
  <c r="H455" i="2"/>
  <c r="H433" i="2"/>
  <c r="H430" i="2"/>
  <c r="H416" i="2"/>
  <c r="H391" i="2"/>
  <c r="H368" i="2"/>
  <c r="H357" i="2"/>
  <c r="H348" i="2"/>
  <c r="H614" i="2"/>
  <c r="H557" i="2"/>
  <c r="H498" i="2"/>
  <c r="H359" i="2"/>
  <c r="H307" i="2"/>
  <c r="H291" i="2"/>
  <c r="H275" i="2"/>
  <c r="H618" i="2"/>
  <c r="H457" i="2"/>
  <c r="H438" i="2"/>
  <c r="H415" i="2"/>
  <c r="H393" i="2"/>
  <c r="H339" i="2"/>
  <c r="H337" i="2"/>
  <c r="H331" i="2"/>
  <c r="H329" i="2"/>
  <c r="H323" i="2"/>
  <c r="H321" i="2"/>
  <c r="H315" i="2"/>
  <c r="H313" i="2"/>
  <c r="H267" i="2"/>
  <c r="H691" i="2"/>
  <c r="H627" i="2"/>
  <c r="H587" i="2"/>
  <c r="H535" i="2"/>
  <c r="H489" i="2"/>
  <c r="H472" i="2"/>
  <c r="H450" i="2"/>
  <c r="H408" i="2"/>
  <c r="H386" i="2"/>
  <c r="H383" i="2"/>
  <c r="H373" i="2"/>
  <c r="H366" i="2"/>
  <c r="H353" i="2"/>
  <c r="H344" i="2"/>
  <c r="H309" i="2"/>
  <c r="H306" i="2"/>
  <c r="H293" i="2"/>
  <c r="H290" i="2"/>
  <c r="H277" i="2"/>
  <c r="H274" i="2"/>
  <c r="H521" i="2"/>
  <c r="H330" i="2"/>
  <c r="H314" i="2"/>
  <c r="H569" i="2"/>
  <c r="H565" i="2"/>
  <c r="H541" i="2"/>
  <c r="H470" i="2"/>
  <c r="H440" i="2"/>
  <c r="H349" i="2"/>
  <c r="H298" i="2"/>
  <c r="H296" i="2"/>
  <c r="H187" i="2"/>
  <c r="H177" i="2"/>
  <c r="H145" i="2"/>
  <c r="H113" i="2"/>
  <c r="H81" i="2"/>
  <c r="H465" i="2"/>
  <c r="H448" i="2"/>
  <c r="H283" i="2"/>
  <c r="H269" i="2"/>
  <c r="H258" i="2"/>
  <c r="H256" i="2"/>
  <c r="H250" i="2"/>
  <c r="H248" i="2"/>
  <c r="H242" i="2"/>
  <c r="H240" i="2"/>
  <c r="H234" i="2"/>
  <c r="H232" i="2"/>
  <c r="H226" i="2"/>
  <c r="H224" i="2"/>
  <c r="H218" i="2"/>
  <c r="H216" i="2"/>
  <c r="H210" i="2"/>
  <c r="H208" i="2"/>
  <c r="H202" i="2"/>
  <c r="H200" i="2"/>
  <c r="H194" i="2"/>
  <c r="H192" i="2"/>
  <c r="H643" i="2"/>
  <c r="H494" i="2"/>
  <c r="H462" i="2"/>
  <c r="H425" i="2"/>
  <c r="H367" i="2"/>
  <c r="H340" i="2"/>
  <c r="H324" i="2"/>
  <c r="H301" i="2"/>
  <c r="H289" i="2"/>
  <c r="H179" i="2"/>
  <c r="H171" i="2"/>
  <c r="H162" i="2"/>
  <c r="H153" i="2"/>
  <c r="H148" i="2"/>
  <c r="H139" i="2"/>
  <c r="H130" i="2"/>
  <c r="H121" i="2"/>
  <c r="H116" i="2"/>
  <c r="H107" i="2"/>
  <c r="H98" i="2"/>
  <c r="H89" i="2"/>
  <c r="H84" i="2"/>
  <c r="H551" i="2"/>
  <c r="H480" i="2"/>
  <c r="H447" i="2"/>
  <c r="H442" i="2"/>
  <c r="H354" i="2"/>
  <c r="H273" i="2"/>
  <c r="H176" i="2"/>
  <c r="H160" i="2"/>
  <c r="H151" i="2"/>
  <c r="H142" i="2"/>
  <c r="H129" i="2"/>
  <c r="H96" i="2"/>
  <c r="H87" i="2"/>
  <c r="H78" i="2"/>
  <c r="H74" i="2"/>
  <c r="H67" i="2"/>
  <c r="H423" i="2"/>
  <c r="H401" i="2"/>
  <c r="H374" i="2"/>
  <c r="H358" i="2"/>
  <c r="H316" i="2"/>
  <c r="H178" i="2"/>
  <c r="H120" i="2"/>
  <c r="H111" i="2"/>
  <c r="H60" i="2"/>
  <c r="H50" i="2"/>
  <c r="H34" i="2"/>
  <c r="H18" i="2"/>
  <c r="H406" i="2"/>
  <c r="H384" i="2"/>
  <c r="H362" i="2"/>
  <c r="H338" i="2"/>
  <c r="H299" i="2"/>
  <c r="H259" i="2"/>
  <c r="H243" i="2"/>
  <c r="H227" i="2"/>
  <c r="H211" i="2"/>
  <c r="H195" i="2"/>
  <c r="H186" i="2"/>
  <c r="H166" i="2"/>
  <c r="H137" i="2"/>
  <c r="H102" i="2"/>
  <c r="H43" i="2"/>
  <c r="H292" i="2"/>
  <c r="H272" i="2"/>
  <c r="H249" i="2"/>
  <c r="H233" i="2"/>
  <c r="H217" i="2"/>
  <c r="H201" i="2"/>
  <c r="H170" i="2"/>
  <c r="H124" i="2"/>
  <c r="H115" i="2"/>
  <c r="H106" i="2"/>
  <c r="H377" i="2"/>
  <c r="H305" i="2"/>
  <c r="H280" i="2"/>
  <c r="H268" i="2"/>
  <c r="H185" i="2"/>
  <c r="H161" i="2"/>
  <c r="H128" i="2"/>
  <c r="H119" i="2"/>
  <c r="H110" i="2"/>
  <c r="H97" i="2"/>
  <c r="H75" i="2"/>
  <c r="H73" i="2"/>
  <c r="H476" i="2"/>
  <c r="H398" i="2"/>
  <c r="H332" i="2"/>
  <c r="H264" i="2"/>
  <c r="H152" i="2"/>
  <c r="H143" i="2"/>
  <c r="H132" i="2"/>
  <c r="H88" i="2"/>
  <c r="H79" i="2"/>
  <c r="H500" i="2"/>
  <c r="H345" i="2"/>
  <c r="H322" i="2"/>
  <c r="H251" i="2"/>
  <c r="H235" i="2"/>
  <c r="H219" i="2"/>
  <c r="H203" i="2"/>
  <c r="H169" i="2"/>
  <c r="H134" i="2"/>
  <c r="H123" i="2"/>
  <c r="H114" i="2"/>
  <c r="H105" i="2"/>
  <c r="H282" i="2"/>
  <c r="H257" i="2"/>
  <c r="H241" i="2"/>
  <c r="H225" i="2"/>
  <c r="H209" i="2"/>
  <c r="H193" i="2"/>
  <c r="H156" i="2"/>
  <c r="H147" i="2"/>
  <c r="H138" i="2"/>
  <c r="H92" i="2"/>
  <c r="H83" i="2"/>
  <c r="H69" i="2"/>
  <c r="H52" i="2"/>
  <c r="H42" i="2"/>
  <c r="H27" i="2"/>
  <c r="H20" i="2"/>
  <c r="H38" i="2"/>
  <c r="H46" i="2"/>
  <c r="H57" i="2"/>
  <c r="H59" i="2"/>
  <c r="H25" i="2"/>
  <c r="H32" i="2"/>
  <c r="H51" i="2"/>
  <c r="H63" i="2"/>
  <c r="H68" i="2"/>
  <c r="H82" i="2"/>
  <c r="H146" i="2"/>
  <c r="H418" i="2"/>
  <c r="H13" i="2"/>
  <c r="H28" i="2"/>
  <c r="H33" i="2"/>
  <c r="H35" i="2"/>
  <c r="H49" i="2"/>
  <c r="H91" i="2"/>
  <c r="H155" i="2"/>
  <c r="H21" i="2"/>
  <c r="H24" i="2"/>
  <c r="H31" i="2"/>
  <c r="H55" i="2"/>
  <c r="H70" i="2"/>
  <c r="H100" i="2"/>
  <c r="H164" i="2"/>
  <c r="H180" i="2"/>
  <c r="H188" i="2"/>
  <c r="H22" i="2"/>
  <c r="H26" i="2"/>
  <c r="H36" i="2"/>
  <c r="H41" i="2"/>
  <c r="H44" i="2"/>
  <c r="H66" i="2"/>
  <c r="H285" i="2"/>
  <c r="H16" i="2"/>
  <c r="H48" i="2"/>
  <c r="H12" i="2"/>
  <c r="H17" i="2"/>
  <c r="H19" i="2"/>
  <c r="H29" i="2"/>
  <c r="H58" i="2"/>
  <c r="H65" i="2"/>
  <c r="H77" i="2"/>
  <c r="H86" i="2"/>
  <c r="H90" i="2"/>
  <c r="H95" i="2"/>
  <c r="H112" i="2"/>
  <c r="H141" i="2"/>
  <c r="H150" i="2"/>
  <c r="H154" i="2"/>
  <c r="H159" i="2"/>
  <c r="H182" i="2"/>
  <c r="H196" i="2"/>
  <c r="H212" i="2"/>
  <c r="H228" i="2"/>
  <c r="H244" i="2"/>
  <c r="H260" i="2"/>
  <c r="H271" i="2"/>
  <c r="H300" i="2"/>
  <c r="H365" i="2"/>
  <c r="H370" i="2"/>
  <c r="H382" i="2"/>
  <c r="H513" i="2"/>
  <c r="H99" i="2"/>
  <c r="H104" i="2"/>
  <c r="H163" i="2"/>
  <c r="H168" i="2"/>
  <c r="H287" i="2"/>
  <c r="H108" i="2"/>
  <c r="H117" i="2"/>
  <c r="H126" i="2"/>
  <c r="H172" i="2"/>
  <c r="H175" i="2"/>
  <c r="H288" i="2"/>
  <c r="H319" i="2"/>
  <c r="H361" i="2"/>
  <c r="H483" i="2"/>
  <c r="H72" i="2"/>
  <c r="H135" i="2"/>
  <c r="H198" i="2"/>
  <c r="H214" i="2"/>
  <c r="H230" i="2"/>
  <c r="H246" i="2"/>
  <c r="H262" i="2"/>
  <c r="H276" i="2"/>
  <c r="H310" i="2"/>
  <c r="H341" i="2"/>
  <c r="H352" i="2"/>
  <c r="H501" i="2"/>
  <c r="H561" i="2"/>
  <c r="H80" i="2"/>
  <c r="H109" i="2"/>
  <c r="H118" i="2"/>
  <c r="H122" i="2"/>
  <c r="H127" i="2"/>
  <c r="H144" i="2"/>
  <c r="H204" i="2"/>
  <c r="H220" i="2"/>
  <c r="H236" i="2"/>
  <c r="H252" i="2"/>
  <c r="H281" i="2"/>
  <c r="H390" i="2"/>
  <c r="H395" i="2"/>
  <c r="H410" i="2"/>
  <c r="H434" i="2"/>
  <c r="H14" i="2"/>
  <c r="H30" i="2"/>
  <c r="H47" i="2"/>
  <c r="H62" i="2"/>
  <c r="H64" i="2"/>
  <c r="H131" i="2"/>
  <c r="H136" i="2"/>
  <c r="H184" i="2"/>
  <c r="H435" i="2"/>
  <c r="H517" i="2"/>
  <c r="H23" i="2"/>
  <c r="H39" i="2"/>
  <c r="H76" i="2"/>
  <c r="H85" i="2"/>
  <c r="H94" i="2"/>
  <c r="H140" i="2"/>
  <c r="H149" i="2"/>
  <c r="H158" i="2"/>
  <c r="H190" i="2"/>
  <c r="H335" i="2"/>
  <c r="H452" i="2"/>
  <c r="H469" i="2"/>
  <c r="H556" i="2"/>
  <c r="H622" i="2"/>
  <c r="H54" i="2"/>
  <c r="H56" i="2"/>
  <c r="H71" i="2"/>
  <c r="H103" i="2"/>
  <c r="H167" i="2"/>
  <c r="H206" i="2"/>
  <c r="H222" i="2"/>
  <c r="H238" i="2"/>
  <c r="H254" i="2"/>
  <c r="H278" i="2"/>
  <c r="H308" i="2"/>
  <c r="H325" i="2"/>
  <c r="H369" i="2"/>
  <c r="H505" i="2"/>
  <c r="H173" i="2"/>
  <c r="H266" i="2"/>
  <c r="H270" i="2"/>
  <c r="H284" i="2"/>
  <c r="H350" i="2"/>
  <c r="H372" i="2"/>
  <c r="H388" i="2"/>
  <c r="H405" i="2"/>
  <c r="H446" i="2"/>
  <c r="H459" i="2"/>
  <c r="H555" i="2"/>
  <c r="H93" i="2"/>
  <c r="H125" i="2"/>
  <c r="H157" i="2"/>
  <c r="H174" i="2"/>
  <c r="H189" i="2"/>
  <c r="H191" i="2"/>
  <c r="H199" i="2"/>
  <c r="H207" i="2"/>
  <c r="H215" i="2"/>
  <c r="H223" i="2"/>
  <c r="H231" i="2"/>
  <c r="H239" i="2"/>
  <c r="H247" i="2"/>
  <c r="H255" i="2"/>
  <c r="H303" i="2"/>
  <c r="H379" i="2"/>
  <c r="H525" i="2"/>
  <c r="H265" i="2"/>
  <c r="H294" i="2"/>
  <c r="H304" i="2"/>
  <c r="H327" i="2"/>
  <c r="H412" i="2"/>
  <c r="H454" i="2"/>
  <c r="H474" i="2"/>
  <c r="H101" i="2"/>
  <c r="H133" i="2"/>
  <c r="H165" i="2"/>
  <c r="H181" i="2"/>
  <c r="H183" i="2"/>
  <c r="H197" i="2"/>
  <c r="H205" i="2"/>
  <c r="H213" i="2"/>
  <c r="H221" i="2"/>
  <c r="H229" i="2"/>
  <c r="H237" i="2"/>
  <c r="H245" i="2"/>
  <c r="H253" i="2"/>
  <c r="H261" i="2"/>
  <c r="H297" i="2"/>
  <c r="H317" i="2"/>
  <c r="H333" i="2"/>
  <c r="H360" i="2"/>
  <c r="H429" i="2"/>
  <c r="H263" i="2"/>
  <c r="H279" i="2"/>
  <c r="H295" i="2"/>
  <c r="H311" i="2"/>
  <c r="H347" i="2"/>
  <c r="H356" i="2"/>
  <c r="H381" i="2"/>
  <c r="H420" i="2"/>
  <c r="H437" i="2"/>
  <c r="H508" i="2"/>
  <c r="H540" i="2"/>
  <c r="H545" i="2"/>
  <c r="H599" i="2"/>
  <c r="H605" i="2"/>
  <c r="H312" i="2"/>
  <c r="H320" i="2"/>
  <c r="H328" i="2"/>
  <c r="H336" i="2"/>
  <c r="H422" i="2"/>
  <c r="H427" i="2"/>
  <c r="H478" i="2"/>
  <c r="H506" i="2"/>
  <c r="H539" i="2"/>
  <c r="H580" i="2"/>
  <c r="H733" i="2"/>
  <c r="H342" i="2"/>
  <c r="H346" i="2"/>
  <c r="H355" i="2"/>
  <c r="H385" i="2"/>
  <c r="H397" i="2"/>
  <c r="H402" i="2"/>
  <c r="H444" i="2"/>
  <c r="H461" i="2"/>
  <c r="H466" i="2"/>
  <c r="H492" i="2"/>
  <c r="H530" i="2"/>
  <c r="H591" i="2"/>
  <c r="H603" i="2"/>
  <c r="H609" i="2"/>
  <c r="H696" i="2"/>
  <c r="H286" i="2"/>
  <c r="H302" i="2"/>
  <c r="H318" i="2"/>
  <c r="H326" i="2"/>
  <c r="H334" i="2"/>
  <c r="H364" i="2"/>
  <c r="H378" i="2"/>
  <c r="H403" i="2"/>
  <c r="H414" i="2"/>
  <c r="H467" i="2"/>
  <c r="H572" i="2"/>
  <c r="H532" i="2"/>
  <c r="H548" i="2"/>
  <c r="H675" i="2"/>
  <c r="H387" i="2"/>
  <c r="H389" i="2"/>
  <c r="H404" i="2"/>
  <c r="H419" i="2"/>
  <c r="H421" i="2"/>
  <c r="H436" i="2"/>
  <c r="H451" i="2"/>
  <c r="H453" i="2"/>
  <c r="H468" i="2"/>
  <c r="H475" i="2"/>
  <c r="H484" i="2"/>
  <c r="H488" i="2"/>
  <c r="H493" i="2"/>
  <c r="H523" i="2"/>
  <c r="H547" i="2"/>
  <c r="H563" i="2"/>
  <c r="H593" i="2"/>
  <c r="H679" i="2"/>
  <c r="H363" i="2"/>
  <c r="H371" i="2"/>
  <c r="H497" i="2"/>
  <c r="H502" i="2"/>
  <c r="H537" i="2"/>
  <c r="H553" i="2"/>
  <c r="H597" i="2"/>
  <c r="H611" i="2"/>
  <c r="H630" i="2"/>
  <c r="H660" i="2"/>
  <c r="H380" i="2"/>
  <c r="H396" i="2"/>
  <c r="H411" i="2"/>
  <c r="H413" i="2"/>
  <c r="H428" i="2"/>
  <c r="H443" i="2"/>
  <c r="H445" i="2"/>
  <c r="H460" i="2"/>
  <c r="H515" i="2"/>
  <c r="H582" i="2"/>
  <c r="H648" i="2"/>
  <c r="H514" i="2"/>
  <c r="H516" i="2"/>
  <c r="H531" i="2"/>
  <c r="H571" i="2"/>
  <c r="H607" i="2"/>
  <c r="H617" i="2"/>
  <c r="H707" i="2"/>
  <c r="H692" i="2"/>
  <c r="H742" i="2"/>
  <c r="H491" i="2"/>
  <c r="H566" i="2"/>
  <c r="H616" i="2"/>
  <c r="H765" i="2"/>
  <c r="H507" i="2"/>
  <c r="H522" i="2"/>
  <c r="H524" i="2"/>
  <c r="H538" i="2"/>
  <c r="H546" i="2"/>
  <c r="H554" i="2"/>
  <c r="H575" i="2"/>
  <c r="H626" i="2"/>
  <c r="H632" i="2"/>
  <c r="H646" i="2"/>
  <c r="H499" i="2"/>
  <c r="H567" i="2"/>
  <c r="H576" i="2"/>
  <c r="H584" i="2"/>
  <c r="H589" i="2"/>
  <c r="H613" i="2"/>
  <c r="H590" i="2"/>
  <c r="H592" i="2"/>
  <c r="H684" i="2"/>
  <c r="H709" i="2"/>
  <c r="H717" i="2"/>
  <c r="H749" i="2"/>
  <c r="H600" i="2"/>
  <c r="H633" i="2"/>
  <c r="H635" i="2"/>
  <c r="H639" i="2"/>
  <c r="H663" i="2"/>
  <c r="H680" i="2"/>
  <c r="H708" i="2"/>
  <c r="H574" i="2"/>
  <c r="H583" i="2"/>
  <c r="H598" i="2"/>
  <c r="H642" i="2"/>
  <c r="H677" i="2"/>
  <c r="H683" i="2"/>
  <c r="H608" i="2"/>
  <c r="H621" i="2"/>
  <c r="H640" i="2"/>
  <c r="H650" i="2"/>
  <c r="H655" i="2"/>
  <c r="H671" i="2"/>
  <c r="H726" i="2"/>
  <c r="H758" i="2"/>
  <c r="H656" i="2"/>
  <c r="H670" i="2"/>
  <c r="H703" i="2"/>
  <c r="H641" i="2"/>
  <c r="H661" i="2"/>
  <c r="H686" i="2"/>
  <c r="H712" i="2"/>
  <c r="H624" i="2"/>
  <c r="H667" i="2"/>
  <c r="H699" i="2"/>
  <c r="H718" i="2"/>
  <c r="H734" i="2"/>
  <c r="H750" i="2"/>
  <c r="H766" i="2"/>
  <c r="H649" i="2"/>
  <c r="H664" i="2"/>
  <c r="H676" i="2"/>
  <c r="H693" i="2"/>
  <c r="H702" i="2"/>
  <c r="H725" i="2"/>
  <c r="H741" i="2"/>
  <c r="H757" i="2"/>
  <c r="H716" i="2"/>
  <c r="H724" i="2"/>
  <c r="H732" i="2"/>
  <c r="H740" i="2"/>
  <c r="H748" i="2"/>
  <c r="H756" i="2"/>
  <c r="H764" i="2"/>
  <c r="H669" i="2"/>
  <c r="H685" i="2"/>
  <c r="H701" i="2"/>
  <c r="H719" i="2"/>
  <c r="H727" i="2"/>
  <c r="H735" i="2"/>
  <c r="H743" i="2"/>
  <c r="H751" i="2"/>
  <c r="H759" i="2"/>
  <c r="H767" i="2"/>
  <c r="H662" i="2"/>
  <c r="H678" i="2"/>
  <c r="H694" i="2"/>
  <c r="H710" i="2"/>
  <c r="E12" i="2" l="1"/>
  <c r="F13" i="2"/>
  <c r="G12" i="2"/>
  <c r="I12" i="2" l="1"/>
  <c r="J12" i="2" s="1"/>
  <c r="G13" i="2"/>
  <c r="E13" i="2"/>
  <c r="F14" i="2"/>
  <c r="E14" i="2" l="1"/>
  <c r="F15" i="2"/>
  <c r="I13" i="2"/>
  <c r="J13" i="2" s="1"/>
  <c r="G14" i="2"/>
  <c r="I14" i="2" l="1"/>
  <c r="J14" i="2" s="1"/>
  <c r="G15" i="2"/>
  <c r="F16" i="2"/>
  <c r="E15" i="2"/>
  <c r="E16" i="2" l="1"/>
  <c r="F17" i="2"/>
  <c r="I15" i="2"/>
  <c r="J15" i="2" s="1"/>
  <c r="G16" i="2"/>
  <c r="I16" i="2" l="1"/>
  <c r="J16" i="2" s="1"/>
  <c r="G17" i="2"/>
  <c r="E17" i="2"/>
  <c r="F18" i="2"/>
  <c r="I17" i="2" l="1"/>
  <c r="J17" i="2" s="1"/>
  <c r="G18" i="2"/>
  <c r="E18" i="2"/>
  <c r="F19" i="2"/>
  <c r="E19" i="2" l="1"/>
  <c r="F20" i="2"/>
  <c r="I18" i="2"/>
  <c r="J18" i="2" s="1"/>
  <c r="G19" i="2"/>
  <c r="E20" i="2" l="1"/>
  <c r="F21" i="2"/>
  <c r="I19" i="2"/>
  <c r="J19" i="2" s="1"/>
  <c r="G20" i="2"/>
  <c r="I20" i="2" l="1"/>
  <c r="J20" i="2" s="1"/>
  <c r="G21" i="2"/>
  <c r="E21" i="2"/>
  <c r="F22" i="2"/>
  <c r="I21" i="2" l="1"/>
  <c r="J21" i="2" s="1"/>
  <c r="G22" i="2"/>
  <c r="E22" i="2"/>
  <c r="F23" i="2"/>
  <c r="E23" i="2" l="1"/>
  <c r="F24" i="2"/>
  <c r="I22" i="2"/>
  <c r="J22" i="2" s="1"/>
  <c r="G23" i="2"/>
  <c r="I23" i="2" l="1"/>
  <c r="J23" i="2" s="1"/>
  <c r="G24" i="2"/>
  <c r="E24" i="2"/>
  <c r="F25" i="2"/>
  <c r="E25" i="2" l="1"/>
  <c r="F26" i="2"/>
  <c r="I24" i="2"/>
  <c r="J24" i="2" s="1"/>
  <c r="G25" i="2"/>
  <c r="I25" i="2" l="1"/>
  <c r="J25" i="2" s="1"/>
  <c r="G26" i="2"/>
  <c r="E26" i="2"/>
  <c r="F27" i="2"/>
  <c r="I26" i="2" l="1"/>
  <c r="J26" i="2" s="1"/>
  <c r="G27" i="2"/>
  <c r="E27" i="2"/>
  <c r="F28" i="2"/>
  <c r="E28" i="2" l="1"/>
  <c r="F29" i="2"/>
  <c r="I27" i="2"/>
  <c r="J27" i="2" s="1"/>
  <c r="G28" i="2"/>
  <c r="I28" i="2" l="1"/>
  <c r="J28" i="2" s="1"/>
  <c r="G29" i="2"/>
  <c r="E29" i="2"/>
  <c r="F30" i="2"/>
  <c r="E30" i="2" l="1"/>
  <c r="F31" i="2"/>
  <c r="I29" i="2"/>
  <c r="J29" i="2" s="1"/>
  <c r="G30" i="2"/>
  <c r="I30" i="2" l="1"/>
  <c r="J30" i="2" s="1"/>
  <c r="G31" i="2"/>
  <c r="E31" i="2"/>
  <c r="F32" i="2"/>
  <c r="I31" i="2" l="1"/>
  <c r="J31" i="2" s="1"/>
  <c r="G32" i="2"/>
  <c r="E32" i="2"/>
  <c r="F33" i="2"/>
  <c r="E33" i="2" l="1"/>
  <c r="F34" i="2"/>
  <c r="I32" i="2"/>
  <c r="J32" i="2" s="1"/>
  <c r="G33" i="2"/>
  <c r="E34" i="2" l="1"/>
  <c r="F35" i="2"/>
  <c r="I33" i="2"/>
  <c r="J33" i="2" s="1"/>
  <c r="G34" i="2"/>
  <c r="I34" i="2" l="1"/>
  <c r="J34" i="2" s="1"/>
  <c r="G35" i="2"/>
  <c r="E35" i="2"/>
  <c r="F36" i="2"/>
  <c r="E36" i="2" l="1"/>
  <c r="F37" i="2"/>
  <c r="I35" i="2"/>
  <c r="J35" i="2" s="1"/>
  <c r="G36" i="2"/>
  <c r="I36" i="2" l="1"/>
  <c r="J36" i="2" s="1"/>
  <c r="G37" i="2"/>
  <c r="E37" i="2"/>
  <c r="F38" i="2"/>
  <c r="E38" i="2" l="1"/>
  <c r="F39" i="2"/>
  <c r="I37" i="2"/>
  <c r="J37" i="2" s="1"/>
  <c r="G38" i="2"/>
  <c r="I38" i="2" l="1"/>
  <c r="J38" i="2" s="1"/>
  <c r="G39" i="2"/>
  <c r="E39" i="2"/>
  <c r="F40" i="2"/>
  <c r="I39" i="2" l="1"/>
  <c r="J39" i="2" s="1"/>
  <c r="G40" i="2"/>
  <c r="F41" i="2"/>
  <c r="E40" i="2"/>
  <c r="E41" i="2" l="1"/>
  <c r="F42" i="2"/>
  <c r="I40" i="2"/>
  <c r="J40" i="2" s="1"/>
  <c r="G41" i="2"/>
  <c r="I41" i="2" l="1"/>
  <c r="J41" i="2" s="1"/>
  <c r="G42" i="2"/>
  <c r="E42" i="2"/>
  <c r="F43" i="2"/>
  <c r="E43" i="2" l="1"/>
  <c r="F44" i="2"/>
  <c r="I42" i="2"/>
  <c r="J42" i="2" s="1"/>
  <c r="G43" i="2"/>
  <c r="E44" i="2" l="1"/>
  <c r="F45" i="2"/>
  <c r="I43" i="2"/>
  <c r="J43" i="2" s="1"/>
  <c r="G44" i="2"/>
  <c r="I44" i="2" l="1"/>
  <c r="J44" i="2" s="1"/>
  <c r="G45" i="2"/>
  <c r="E45" i="2"/>
  <c r="F46" i="2"/>
  <c r="I45" i="2" l="1"/>
  <c r="J45" i="2" s="1"/>
  <c r="G46" i="2"/>
  <c r="E46" i="2"/>
  <c r="F47" i="2"/>
  <c r="I46" i="2" l="1"/>
  <c r="J46" i="2" s="1"/>
  <c r="G47" i="2"/>
  <c r="E47" i="2"/>
  <c r="F48" i="2"/>
  <c r="I47" i="2" l="1"/>
  <c r="J47" i="2" s="1"/>
  <c r="G48" i="2"/>
  <c r="E48" i="2"/>
  <c r="F49" i="2"/>
  <c r="I48" i="2" l="1"/>
  <c r="J48" i="2" s="1"/>
  <c r="G49" i="2"/>
  <c r="E49" i="2"/>
  <c r="F50" i="2"/>
  <c r="I49" i="2" l="1"/>
  <c r="J49" i="2" s="1"/>
  <c r="G50" i="2"/>
  <c r="E50" i="2"/>
  <c r="F51" i="2"/>
  <c r="E51" i="2" l="1"/>
  <c r="F52" i="2"/>
  <c r="I50" i="2"/>
  <c r="J50" i="2" s="1"/>
  <c r="G51" i="2"/>
  <c r="E52" i="2" l="1"/>
  <c r="F53" i="2"/>
  <c r="I51" i="2"/>
  <c r="J51" i="2" s="1"/>
  <c r="G52" i="2"/>
  <c r="E53" i="2" l="1"/>
  <c r="F54" i="2"/>
  <c r="I52" i="2"/>
  <c r="J52" i="2" s="1"/>
  <c r="G53" i="2"/>
  <c r="I53" i="2" l="1"/>
  <c r="J53" i="2" s="1"/>
  <c r="G54" i="2"/>
  <c r="E54" i="2"/>
  <c r="F55" i="2"/>
  <c r="I54" i="2" l="1"/>
  <c r="J54" i="2" s="1"/>
  <c r="G55" i="2"/>
  <c r="E55" i="2"/>
  <c r="F56" i="2"/>
  <c r="E56" i="2" l="1"/>
  <c r="F57" i="2"/>
  <c r="I55" i="2"/>
  <c r="J55" i="2" s="1"/>
  <c r="G56" i="2"/>
  <c r="E57" i="2" l="1"/>
  <c r="F58" i="2"/>
  <c r="I56" i="2"/>
  <c r="J56" i="2" s="1"/>
  <c r="G57" i="2"/>
  <c r="E58" i="2" l="1"/>
  <c r="F59" i="2"/>
  <c r="I57" i="2"/>
  <c r="J57" i="2" s="1"/>
  <c r="G58" i="2"/>
  <c r="I58" i="2" l="1"/>
  <c r="J58" i="2" s="1"/>
  <c r="G59" i="2"/>
  <c r="E59" i="2"/>
  <c r="F60" i="2"/>
  <c r="E60" i="2" l="1"/>
  <c r="F61" i="2"/>
  <c r="I59" i="2"/>
  <c r="J59" i="2" s="1"/>
  <c r="G60" i="2"/>
  <c r="I60" i="2" l="1"/>
  <c r="J60" i="2" s="1"/>
  <c r="G61" i="2"/>
  <c r="E61" i="2"/>
  <c r="F62" i="2"/>
  <c r="E62" i="2" l="1"/>
  <c r="F63" i="2"/>
  <c r="I61" i="2"/>
  <c r="J61" i="2" s="1"/>
  <c r="G62" i="2"/>
  <c r="I62" i="2" l="1"/>
  <c r="J62" i="2" s="1"/>
  <c r="G63" i="2"/>
  <c r="E63" i="2"/>
  <c r="F64" i="2"/>
  <c r="E64" i="2" l="1"/>
  <c r="F65" i="2"/>
  <c r="I63" i="2"/>
  <c r="J63" i="2" s="1"/>
  <c r="G64" i="2"/>
  <c r="I64" i="2" l="1"/>
  <c r="J64" i="2" s="1"/>
  <c r="G65" i="2"/>
  <c r="E65" i="2"/>
  <c r="F66" i="2"/>
  <c r="E66" i="2" l="1"/>
  <c r="F67" i="2"/>
  <c r="I65" i="2"/>
  <c r="J65" i="2" s="1"/>
  <c r="G66" i="2"/>
  <c r="I66" i="2" l="1"/>
  <c r="J66" i="2" s="1"/>
  <c r="G67" i="2"/>
  <c r="E67" i="2"/>
  <c r="F68" i="2"/>
  <c r="I67" i="2" l="1"/>
  <c r="J67" i="2" s="1"/>
  <c r="G68" i="2"/>
  <c r="E68" i="2"/>
  <c r="F69" i="2"/>
  <c r="E69" i="2" l="1"/>
  <c r="F70" i="2"/>
  <c r="I68" i="2"/>
  <c r="J68" i="2" s="1"/>
  <c r="G69" i="2"/>
  <c r="I69" i="2" l="1"/>
  <c r="J69" i="2" s="1"/>
  <c r="G70" i="2"/>
  <c r="E70" i="2"/>
  <c r="F71" i="2"/>
  <c r="E71" i="2" l="1"/>
  <c r="F72" i="2"/>
  <c r="I70" i="2"/>
  <c r="J70" i="2" s="1"/>
  <c r="G71" i="2"/>
  <c r="E72" i="2" l="1"/>
  <c r="F73" i="2"/>
  <c r="I71" i="2"/>
  <c r="J71" i="2" s="1"/>
  <c r="G72" i="2"/>
  <c r="I72" i="2" l="1"/>
  <c r="J72" i="2" s="1"/>
  <c r="G73" i="2"/>
  <c r="E73" i="2"/>
  <c r="F74" i="2"/>
  <c r="I73" i="2" l="1"/>
  <c r="J73" i="2" s="1"/>
  <c r="G74" i="2"/>
  <c r="E74" i="2"/>
  <c r="F75" i="2"/>
  <c r="E75" i="2" l="1"/>
  <c r="F76" i="2"/>
  <c r="I74" i="2"/>
  <c r="J74" i="2" s="1"/>
  <c r="G75" i="2"/>
  <c r="I75" i="2" l="1"/>
  <c r="J75" i="2" s="1"/>
  <c r="G76" i="2"/>
  <c r="E76" i="2"/>
  <c r="F77" i="2"/>
  <c r="E77" i="2" l="1"/>
  <c r="F78" i="2"/>
  <c r="I76" i="2"/>
  <c r="J76" i="2" s="1"/>
  <c r="G77" i="2"/>
  <c r="I77" i="2" l="1"/>
  <c r="J77" i="2" s="1"/>
  <c r="G78" i="2"/>
  <c r="E78" i="2"/>
  <c r="F79" i="2"/>
  <c r="I78" i="2" l="1"/>
  <c r="J78" i="2" s="1"/>
  <c r="G79" i="2"/>
  <c r="E79" i="2"/>
  <c r="F80" i="2"/>
  <c r="E80" i="2" l="1"/>
  <c r="F81" i="2"/>
  <c r="I79" i="2"/>
  <c r="J79" i="2" s="1"/>
  <c r="G80" i="2"/>
  <c r="E81" i="2" l="1"/>
  <c r="F82" i="2"/>
  <c r="I80" i="2"/>
  <c r="J80" i="2" s="1"/>
  <c r="G81" i="2"/>
  <c r="E82" i="2" l="1"/>
  <c r="F83" i="2"/>
  <c r="I81" i="2"/>
  <c r="J81" i="2" s="1"/>
  <c r="G82" i="2"/>
  <c r="I82" i="2" l="1"/>
  <c r="J82" i="2" s="1"/>
  <c r="G83" i="2"/>
  <c r="E83" i="2"/>
  <c r="F84" i="2"/>
  <c r="E84" i="2" l="1"/>
  <c r="F85" i="2"/>
  <c r="I83" i="2"/>
  <c r="J83" i="2" s="1"/>
  <c r="G84" i="2"/>
  <c r="I84" i="2" l="1"/>
  <c r="J84" i="2" s="1"/>
  <c r="G85" i="2"/>
  <c r="E85" i="2"/>
  <c r="F86" i="2"/>
  <c r="E86" i="2" l="1"/>
  <c r="F87" i="2"/>
  <c r="I85" i="2"/>
  <c r="J85" i="2" s="1"/>
  <c r="G86" i="2"/>
  <c r="E87" i="2" l="1"/>
  <c r="F88" i="2"/>
  <c r="I86" i="2"/>
  <c r="J86" i="2" s="1"/>
  <c r="G87" i="2"/>
  <c r="E88" i="2" l="1"/>
  <c r="F89" i="2"/>
  <c r="I87" i="2"/>
  <c r="J87" i="2" s="1"/>
  <c r="G88" i="2"/>
  <c r="E89" i="2" l="1"/>
  <c r="F90" i="2"/>
  <c r="I88" i="2"/>
  <c r="J88" i="2" s="1"/>
  <c r="G89" i="2"/>
  <c r="I89" i="2" l="1"/>
  <c r="J89" i="2" s="1"/>
  <c r="G90" i="2"/>
  <c r="E90" i="2"/>
  <c r="F91" i="2"/>
  <c r="E91" i="2" l="1"/>
  <c r="F92" i="2"/>
  <c r="I90" i="2"/>
  <c r="J90" i="2" s="1"/>
  <c r="G91" i="2"/>
  <c r="E92" i="2" l="1"/>
  <c r="F93" i="2"/>
  <c r="I91" i="2"/>
  <c r="J91" i="2" s="1"/>
  <c r="G92" i="2"/>
  <c r="I92" i="2" l="1"/>
  <c r="J92" i="2" s="1"/>
  <c r="G93" i="2"/>
  <c r="E93" i="2"/>
  <c r="F94" i="2"/>
  <c r="E94" i="2" l="1"/>
  <c r="F95" i="2"/>
  <c r="I93" i="2"/>
  <c r="J93" i="2" s="1"/>
  <c r="G94" i="2"/>
  <c r="I94" i="2" l="1"/>
  <c r="J94" i="2" s="1"/>
  <c r="G95" i="2"/>
  <c r="E95" i="2"/>
  <c r="F96" i="2"/>
  <c r="E96" i="2" l="1"/>
  <c r="F97" i="2"/>
  <c r="I95" i="2"/>
  <c r="J95" i="2" s="1"/>
  <c r="G96" i="2"/>
  <c r="I96" i="2" l="1"/>
  <c r="J96" i="2" s="1"/>
  <c r="G97" i="2"/>
  <c r="E97" i="2"/>
  <c r="F98" i="2"/>
  <c r="I97" i="2" l="1"/>
  <c r="J97" i="2" s="1"/>
  <c r="G98" i="2"/>
  <c r="E98" i="2"/>
  <c r="F99" i="2"/>
  <c r="I98" i="2" l="1"/>
  <c r="J98" i="2" s="1"/>
  <c r="G99" i="2"/>
  <c r="E99" i="2"/>
  <c r="F100" i="2"/>
  <c r="E100" i="2" l="1"/>
  <c r="F101" i="2"/>
  <c r="I99" i="2"/>
  <c r="J99" i="2" s="1"/>
  <c r="G100" i="2"/>
  <c r="I100" i="2" l="1"/>
  <c r="J100" i="2" s="1"/>
  <c r="G101" i="2"/>
  <c r="E101" i="2"/>
  <c r="F102" i="2"/>
  <c r="I101" i="2" l="1"/>
  <c r="J101" i="2" s="1"/>
  <c r="G102" i="2"/>
  <c r="E102" i="2"/>
  <c r="F103" i="2"/>
  <c r="E103" i="2" l="1"/>
  <c r="F104" i="2"/>
  <c r="I102" i="2"/>
  <c r="J102" i="2" s="1"/>
  <c r="G103" i="2"/>
  <c r="I103" i="2" l="1"/>
  <c r="J103" i="2" s="1"/>
  <c r="G104" i="2"/>
  <c r="E104" i="2"/>
  <c r="F105" i="2"/>
  <c r="I104" i="2" l="1"/>
  <c r="J104" i="2" s="1"/>
  <c r="G105" i="2"/>
  <c r="E105" i="2"/>
  <c r="F106" i="2"/>
  <c r="E106" i="2" l="1"/>
  <c r="F107" i="2"/>
  <c r="I105" i="2"/>
  <c r="J105" i="2" s="1"/>
  <c r="G106" i="2"/>
  <c r="I106" i="2" l="1"/>
  <c r="J106" i="2" s="1"/>
  <c r="G107" i="2"/>
  <c r="E107" i="2"/>
  <c r="F108" i="2"/>
  <c r="E108" i="2" l="1"/>
  <c r="F109" i="2"/>
  <c r="I107" i="2"/>
  <c r="J107" i="2" s="1"/>
  <c r="G108" i="2"/>
  <c r="E109" i="2" l="1"/>
  <c r="F110" i="2"/>
  <c r="I108" i="2"/>
  <c r="J108" i="2" s="1"/>
  <c r="G109" i="2"/>
  <c r="I109" i="2" l="1"/>
  <c r="J109" i="2" s="1"/>
  <c r="G110" i="2"/>
  <c r="E110" i="2"/>
  <c r="F111" i="2"/>
  <c r="E111" i="2" l="1"/>
  <c r="F112" i="2"/>
  <c r="I110" i="2"/>
  <c r="J110" i="2" s="1"/>
  <c r="G111" i="2"/>
  <c r="I111" i="2" l="1"/>
  <c r="J111" i="2" s="1"/>
  <c r="G112" i="2"/>
  <c r="E112" i="2"/>
  <c r="F113" i="2"/>
  <c r="I112" i="2" l="1"/>
  <c r="J112" i="2" s="1"/>
  <c r="G113" i="2"/>
  <c r="E113" i="2"/>
  <c r="F114" i="2"/>
  <c r="E114" i="2" l="1"/>
  <c r="F115" i="2"/>
  <c r="I113" i="2"/>
  <c r="J113" i="2" s="1"/>
  <c r="G114" i="2"/>
  <c r="I114" i="2" l="1"/>
  <c r="J114" i="2" s="1"/>
  <c r="G115" i="2"/>
  <c r="E115" i="2"/>
  <c r="F116" i="2"/>
  <c r="E116" i="2" l="1"/>
  <c r="F117" i="2"/>
  <c r="I115" i="2"/>
  <c r="J115" i="2" s="1"/>
  <c r="G116" i="2"/>
  <c r="I116" i="2" l="1"/>
  <c r="J116" i="2" s="1"/>
  <c r="G117" i="2"/>
  <c r="E117" i="2"/>
  <c r="F118" i="2"/>
  <c r="E118" i="2" l="1"/>
  <c r="F119" i="2"/>
  <c r="I117" i="2"/>
  <c r="J117" i="2" s="1"/>
  <c r="G118" i="2"/>
  <c r="I118" i="2" l="1"/>
  <c r="J118" i="2" s="1"/>
  <c r="G119" i="2"/>
  <c r="E119" i="2"/>
  <c r="F120" i="2"/>
  <c r="E120" i="2" l="1"/>
  <c r="F121" i="2"/>
  <c r="I119" i="2"/>
  <c r="J119" i="2" s="1"/>
  <c r="G120" i="2"/>
  <c r="E121" i="2" l="1"/>
  <c r="F122" i="2"/>
  <c r="I120" i="2"/>
  <c r="J120" i="2" s="1"/>
  <c r="G121" i="2"/>
  <c r="I121" i="2" l="1"/>
  <c r="J121" i="2" s="1"/>
  <c r="G122" i="2"/>
  <c r="E122" i="2"/>
  <c r="F123" i="2"/>
  <c r="E123" i="2" l="1"/>
  <c r="F124" i="2"/>
  <c r="I122" i="2"/>
  <c r="J122" i="2" s="1"/>
  <c r="G123" i="2"/>
  <c r="I123" i="2" l="1"/>
  <c r="J123" i="2" s="1"/>
  <c r="G124" i="2"/>
  <c r="E124" i="2"/>
  <c r="F125" i="2"/>
  <c r="I124" i="2" l="1"/>
  <c r="J124" i="2" s="1"/>
  <c r="G125" i="2"/>
  <c r="E125" i="2"/>
  <c r="F126" i="2"/>
  <c r="I125" i="2" l="1"/>
  <c r="J125" i="2" s="1"/>
  <c r="G126" i="2"/>
  <c r="E126" i="2"/>
  <c r="F127" i="2"/>
  <c r="E127" i="2" l="1"/>
  <c r="F128" i="2"/>
  <c r="I126" i="2"/>
  <c r="J126" i="2" s="1"/>
  <c r="G127" i="2"/>
  <c r="I127" i="2" l="1"/>
  <c r="J127" i="2" s="1"/>
  <c r="G128" i="2"/>
  <c r="E128" i="2"/>
  <c r="F129" i="2"/>
  <c r="I128" i="2" l="1"/>
  <c r="J128" i="2" s="1"/>
  <c r="G129" i="2"/>
  <c r="E129" i="2"/>
  <c r="F130" i="2"/>
  <c r="E130" i="2" l="1"/>
  <c r="F131" i="2"/>
  <c r="I129" i="2"/>
  <c r="J129" i="2" s="1"/>
  <c r="G130" i="2"/>
  <c r="I130" i="2" l="1"/>
  <c r="J130" i="2" s="1"/>
  <c r="G131" i="2"/>
  <c r="E131" i="2"/>
  <c r="F132" i="2"/>
  <c r="E132" i="2" l="1"/>
  <c r="F133" i="2"/>
  <c r="I131" i="2"/>
  <c r="J131" i="2" s="1"/>
  <c r="G132" i="2"/>
  <c r="I132" i="2" l="1"/>
  <c r="J132" i="2" s="1"/>
  <c r="G133" i="2"/>
  <c r="E133" i="2"/>
  <c r="F134" i="2"/>
  <c r="E134" i="2" l="1"/>
  <c r="F135" i="2"/>
  <c r="I133" i="2"/>
  <c r="J133" i="2" s="1"/>
  <c r="G134" i="2"/>
  <c r="I134" i="2" l="1"/>
  <c r="J134" i="2" s="1"/>
  <c r="G135" i="2"/>
  <c r="E135" i="2"/>
  <c r="F136" i="2"/>
  <c r="E136" i="2" l="1"/>
  <c r="F137" i="2"/>
  <c r="I135" i="2"/>
  <c r="J135" i="2" s="1"/>
  <c r="G136" i="2"/>
  <c r="E137" i="2" l="1"/>
  <c r="F138" i="2"/>
  <c r="I136" i="2"/>
  <c r="J136" i="2" s="1"/>
  <c r="G137" i="2"/>
  <c r="E138" i="2" l="1"/>
  <c r="F139" i="2"/>
  <c r="I137" i="2"/>
  <c r="J137" i="2" s="1"/>
  <c r="G138" i="2"/>
  <c r="I138" i="2" l="1"/>
  <c r="J138" i="2" s="1"/>
  <c r="G139" i="2"/>
  <c r="E139" i="2"/>
  <c r="F140" i="2"/>
  <c r="E140" i="2" l="1"/>
  <c r="F141" i="2"/>
  <c r="I139" i="2"/>
  <c r="J139" i="2" s="1"/>
  <c r="G140" i="2"/>
  <c r="I140" i="2" l="1"/>
  <c r="J140" i="2" s="1"/>
  <c r="G141" i="2"/>
  <c r="E141" i="2"/>
  <c r="F142" i="2"/>
  <c r="E142" i="2" l="1"/>
  <c r="F143" i="2"/>
  <c r="I141" i="2"/>
  <c r="J141" i="2" s="1"/>
  <c r="G142" i="2"/>
  <c r="E143" i="2" l="1"/>
  <c r="F144" i="2"/>
  <c r="I142" i="2"/>
  <c r="J142" i="2" s="1"/>
  <c r="G143" i="2"/>
  <c r="I143" i="2" l="1"/>
  <c r="J143" i="2" s="1"/>
  <c r="G144" i="2"/>
  <c r="E144" i="2"/>
  <c r="F145" i="2"/>
  <c r="I144" i="2" l="1"/>
  <c r="J144" i="2" s="1"/>
  <c r="G145" i="2"/>
  <c r="E145" i="2"/>
  <c r="F146" i="2"/>
  <c r="I145" i="2" l="1"/>
  <c r="J145" i="2" s="1"/>
  <c r="G146" i="2"/>
  <c r="E146" i="2"/>
  <c r="F147" i="2"/>
  <c r="E147" i="2" l="1"/>
  <c r="F148" i="2"/>
  <c r="I146" i="2"/>
  <c r="J146" i="2" s="1"/>
  <c r="G147" i="2"/>
  <c r="I147" i="2" l="1"/>
  <c r="J147" i="2" s="1"/>
  <c r="G148" i="2"/>
  <c r="E148" i="2"/>
  <c r="F149" i="2"/>
  <c r="E149" i="2" l="1"/>
  <c r="F150" i="2"/>
  <c r="I148" i="2"/>
  <c r="J148" i="2" s="1"/>
  <c r="G149" i="2"/>
  <c r="E150" i="2" l="1"/>
  <c r="F151" i="2"/>
  <c r="I149" i="2"/>
  <c r="J149" i="2" s="1"/>
  <c r="G150" i="2"/>
  <c r="I150" i="2" l="1"/>
  <c r="J150" i="2" s="1"/>
  <c r="G151" i="2"/>
  <c r="E151" i="2"/>
  <c r="F152" i="2"/>
  <c r="I151" i="2" l="1"/>
  <c r="J151" i="2" s="1"/>
  <c r="G152" i="2"/>
  <c r="E152" i="2"/>
  <c r="F153" i="2"/>
  <c r="E153" i="2" l="1"/>
  <c r="F154" i="2"/>
  <c r="I152" i="2"/>
  <c r="J152" i="2" s="1"/>
  <c r="G153" i="2"/>
  <c r="E154" i="2" l="1"/>
  <c r="F155" i="2"/>
  <c r="I153" i="2"/>
  <c r="J153" i="2" s="1"/>
  <c r="G154" i="2"/>
  <c r="I154" i="2" l="1"/>
  <c r="J154" i="2" s="1"/>
  <c r="G155" i="2"/>
  <c r="E155" i="2"/>
  <c r="F156" i="2"/>
  <c r="E156" i="2" l="1"/>
  <c r="F157" i="2"/>
  <c r="I155" i="2"/>
  <c r="J155" i="2" s="1"/>
  <c r="G156" i="2"/>
  <c r="I156" i="2" l="1"/>
  <c r="J156" i="2" s="1"/>
  <c r="G157" i="2"/>
  <c r="E157" i="2"/>
  <c r="F158" i="2"/>
  <c r="E158" i="2" l="1"/>
  <c r="F159" i="2"/>
  <c r="I157" i="2"/>
  <c r="J157" i="2" s="1"/>
  <c r="G158" i="2"/>
  <c r="I158" i="2" l="1"/>
  <c r="J158" i="2" s="1"/>
  <c r="G159" i="2"/>
  <c r="E159" i="2"/>
  <c r="F160" i="2"/>
  <c r="E160" i="2" l="1"/>
  <c r="F161" i="2"/>
  <c r="I159" i="2"/>
  <c r="J159" i="2" s="1"/>
  <c r="G160" i="2"/>
  <c r="E161" i="2" l="1"/>
  <c r="F162" i="2"/>
  <c r="I160" i="2"/>
  <c r="J160" i="2" s="1"/>
  <c r="G161" i="2"/>
  <c r="I161" i="2" l="1"/>
  <c r="J161" i="2" s="1"/>
  <c r="G162" i="2"/>
  <c r="E162" i="2"/>
  <c r="F163" i="2"/>
  <c r="I162" i="2" l="1"/>
  <c r="J162" i="2" s="1"/>
  <c r="G163" i="2"/>
  <c r="E163" i="2"/>
  <c r="F164" i="2"/>
  <c r="I163" i="2" l="1"/>
  <c r="J163" i="2" s="1"/>
  <c r="G164" i="2"/>
  <c r="E164" i="2"/>
  <c r="F165" i="2"/>
  <c r="E165" i="2" l="1"/>
  <c r="F166" i="2"/>
  <c r="I164" i="2"/>
  <c r="J164" i="2" s="1"/>
  <c r="G165" i="2"/>
  <c r="I165" i="2" l="1"/>
  <c r="J165" i="2" s="1"/>
  <c r="G166" i="2"/>
  <c r="E166" i="2"/>
  <c r="F167" i="2"/>
  <c r="E167" i="2" l="1"/>
  <c r="F168" i="2"/>
  <c r="I166" i="2"/>
  <c r="J166" i="2" s="1"/>
  <c r="G167" i="2"/>
  <c r="I167" i="2" l="1"/>
  <c r="J167" i="2" s="1"/>
  <c r="G168" i="2"/>
  <c r="E168" i="2"/>
  <c r="F169" i="2"/>
  <c r="I168" i="2" l="1"/>
  <c r="J168" i="2" s="1"/>
  <c r="G169" i="2"/>
  <c r="E169" i="2"/>
  <c r="F170" i="2"/>
  <c r="I169" i="2" l="1"/>
  <c r="J169" i="2" s="1"/>
  <c r="G170" i="2"/>
  <c r="E170" i="2"/>
  <c r="F171" i="2"/>
  <c r="E171" i="2" l="1"/>
  <c r="F172" i="2"/>
  <c r="I170" i="2"/>
  <c r="J170" i="2" s="1"/>
  <c r="G171" i="2"/>
  <c r="E172" i="2" l="1"/>
  <c r="F173" i="2"/>
  <c r="I171" i="2"/>
  <c r="J171" i="2" s="1"/>
  <c r="G172" i="2"/>
  <c r="E173" i="2" l="1"/>
  <c r="F174" i="2"/>
  <c r="I172" i="2"/>
  <c r="J172" i="2" s="1"/>
  <c r="G173" i="2"/>
  <c r="I173" i="2" l="1"/>
  <c r="J173" i="2" s="1"/>
  <c r="G174" i="2"/>
  <c r="E174" i="2"/>
  <c r="F175" i="2"/>
  <c r="I174" i="2" l="1"/>
  <c r="J174" i="2" s="1"/>
  <c r="G175" i="2"/>
  <c r="E175" i="2"/>
  <c r="F176" i="2"/>
  <c r="I175" i="2" l="1"/>
  <c r="J175" i="2" s="1"/>
  <c r="G176" i="2"/>
  <c r="E176" i="2"/>
  <c r="F177" i="2"/>
  <c r="E177" i="2" l="1"/>
  <c r="F178" i="2"/>
  <c r="I176" i="2"/>
  <c r="J176" i="2" s="1"/>
  <c r="G177" i="2"/>
  <c r="I177" i="2" l="1"/>
  <c r="J177" i="2" s="1"/>
  <c r="G178" i="2"/>
  <c r="E178" i="2"/>
  <c r="F179" i="2"/>
  <c r="I178" i="2" l="1"/>
  <c r="J178" i="2" s="1"/>
  <c r="G179" i="2"/>
  <c r="E179" i="2"/>
  <c r="F180" i="2"/>
  <c r="E180" i="2" l="1"/>
  <c r="F181" i="2"/>
  <c r="I179" i="2"/>
  <c r="J179" i="2" s="1"/>
  <c r="G180" i="2"/>
  <c r="I180" i="2" l="1"/>
  <c r="J180" i="2" s="1"/>
  <c r="G181" i="2"/>
  <c r="E181" i="2"/>
  <c r="F182" i="2"/>
  <c r="I181" i="2" l="1"/>
  <c r="J181" i="2" s="1"/>
  <c r="G182" i="2"/>
  <c r="E182" i="2"/>
  <c r="F183" i="2"/>
  <c r="E183" i="2" l="1"/>
  <c r="F184" i="2"/>
  <c r="I182" i="2"/>
  <c r="J182" i="2" s="1"/>
  <c r="G183" i="2"/>
  <c r="E184" i="2" l="1"/>
  <c r="F185" i="2"/>
  <c r="I183" i="2"/>
  <c r="J183" i="2" s="1"/>
  <c r="G184" i="2"/>
  <c r="I184" i="2" l="1"/>
  <c r="J184" i="2" s="1"/>
  <c r="G185" i="2"/>
  <c r="E185" i="2"/>
  <c r="F186" i="2"/>
  <c r="E186" i="2" l="1"/>
  <c r="F187" i="2"/>
  <c r="I185" i="2"/>
  <c r="J185" i="2" s="1"/>
  <c r="G186" i="2"/>
  <c r="I186" i="2" l="1"/>
  <c r="J186" i="2" s="1"/>
  <c r="G187" i="2"/>
  <c r="E187" i="2"/>
  <c r="F188" i="2"/>
  <c r="E188" i="2" l="1"/>
  <c r="F189" i="2"/>
  <c r="I187" i="2"/>
  <c r="J187" i="2" s="1"/>
  <c r="G188" i="2"/>
  <c r="E189" i="2" l="1"/>
  <c r="F190" i="2"/>
  <c r="I188" i="2"/>
  <c r="J188" i="2" s="1"/>
  <c r="G189" i="2"/>
  <c r="I189" i="2" l="1"/>
  <c r="J189" i="2" s="1"/>
  <c r="G190" i="2"/>
  <c r="E190" i="2"/>
  <c r="F191" i="2"/>
  <c r="I190" i="2" l="1"/>
  <c r="J190" i="2" s="1"/>
  <c r="G191" i="2"/>
  <c r="E191" i="2"/>
  <c r="F192" i="2"/>
  <c r="I191" i="2" l="1"/>
  <c r="J191" i="2" s="1"/>
  <c r="G192" i="2"/>
  <c r="E192" i="2"/>
  <c r="F193" i="2"/>
  <c r="E193" i="2" l="1"/>
  <c r="F194" i="2"/>
  <c r="I192" i="2"/>
  <c r="J192" i="2" s="1"/>
  <c r="G193" i="2"/>
  <c r="I193" i="2" l="1"/>
  <c r="J193" i="2" s="1"/>
  <c r="G194" i="2"/>
  <c r="E194" i="2"/>
  <c r="F195" i="2"/>
  <c r="I194" i="2" l="1"/>
  <c r="J194" i="2" s="1"/>
  <c r="G195" i="2"/>
  <c r="E195" i="2"/>
  <c r="F196" i="2"/>
  <c r="I195" i="2" l="1"/>
  <c r="J195" i="2" s="1"/>
  <c r="G196" i="2"/>
  <c r="E196" i="2"/>
  <c r="F197" i="2"/>
  <c r="E197" i="2" l="1"/>
  <c r="F198" i="2"/>
  <c r="I196" i="2"/>
  <c r="J196" i="2" s="1"/>
  <c r="G197" i="2"/>
  <c r="I197" i="2" l="1"/>
  <c r="J197" i="2" s="1"/>
  <c r="G198" i="2"/>
  <c r="E198" i="2"/>
  <c r="F199" i="2"/>
  <c r="I198" i="2" l="1"/>
  <c r="J198" i="2" s="1"/>
  <c r="G199" i="2"/>
  <c r="E199" i="2"/>
  <c r="F200" i="2"/>
  <c r="E200" i="2" l="1"/>
  <c r="F201" i="2"/>
  <c r="I199" i="2"/>
  <c r="J199" i="2" s="1"/>
  <c r="G200" i="2"/>
  <c r="I200" i="2" l="1"/>
  <c r="J200" i="2" s="1"/>
  <c r="G201" i="2"/>
  <c r="E201" i="2"/>
  <c r="F202" i="2"/>
  <c r="E202" i="2" l="1"/>
  <c r="F203" i="2"/>
  <c r="I201" i="2"/>
  <c r="J201" i="2" s="1"/>
  <c r="G202" i="2"/>
  <c r="E203" i="2" l="1"/>
  <c r="F204" i="2"/>
  <c r="I202" i="2"/>
  <c r="J202" i="2" s="1"/>
  <c r="G203" i="2"/>
  <c r="I203" i="2" l="1"/>
  <c r="J203" i="2" s="1"/>
  <c r="G204" i="2"/>
  <c r="E204" i="2"/>
  <c r="F205" i="2"/>
  <c r="I204" i="2" l="1"/>
  <c r="J204" i="2" s="1"/>
  <c r="G205" i="2"/>
  <c r="E205" i="2"/>
  <c r="F206" i="2"/>
  <c r="E206" i="2" l="1"/>
  <c r="F207" i="2"/>
  <c r="I205" i="2"/>
  <c r="J205" i="2" s="1"/>
  <c r="G206" i="2"/>
  <c r="I206" i="2" l="1"/>
  <c r="J206" i="2" s="1"/>
  <c r="G207" i="2"/>
  <c r="E207" i="2"/>
  <c r="F208" i="2"/>
  <c r="E208" i="2" l="1"/>
  <c r="F209" i="2"/>
  <c r="I207" i="2"/>
  <c r="J207" i="2" s="1"/>
  <c r="G208" i="2"/>
  <c r="I208" i="2" l="1"/>
  <c r="J208" i="2" s="1"/>
  <c r="G209" i="2"/>
  <c r="E209" i="2"/>
  <c r="F210" i="2"/>
  <c r="I209" i="2" l="1"/>
  <c r="J209" i="2" s="1"/>
  <c r="G210" i="2"/>
  <c r="E210" i="2"/>
  <c r="F211" i="2"/>
  <c r="E211" i="2" l="1"/>
  <c r="F212" i="2"/>
  <c r="I210" i="2"/>
  <c r="J210" i="2" s="1"/>
  <c r="G211" i="2"/>
  <c r="I211" i="2" l="1"/>
  <c r="J211" i="2" s="1"/>
  <c r="G212" i="2"/>
  <c r="E212" i="2"/>
  <c r="F213" i="2"/>
  <c r="E213" i="2" l="1"/>
  <c r="F214" i="2"/>
  <c r="I212" i="2"/>
  <c r="J212" i="2" s="1"/>
  <c r="G213" i="2"/>
  <c r="I213" i="2" l="1"/>
  <c r="J213" i="2" s="1"/>
  <c r="G214" i="2"/>
  <c r="E214" i="2"/>
  <c r="F215" i="2"/>
  <c r="E215" i="2" l="1"/>
  <c r="F216" i="2"/>
  <c r="I214" i="2"/>
  <c r="J214" i="2" s="1"/>
  <c r="G215" i="2"/>
  <c r="I215" i="2" l="1"/>
  <c r="J215" i="2" s="1"/>
  <c r="G216" i="2"/>
  <c r="E216" i="2"/>
  <c r="F217" i="2"/>
  <c r="E217" i="2" l="1"/>
  <c r="F218" i="2"/>
  <c r="I216" i="2"/>
  <c r="J216" i="2" s="1"/>
  <c r="G217" i="2"/>
  <c r="E218" i="2" l="1"/>
  <c r="F219" i="2"/>
  <c r="I217" i="2"/>
  <c r="J217" i="2" s="1"/>
  <c r="G218" i="2"/>
  <c r="I218" i="2" l="1"/>
  <c r="J218" i="2" s="1"/>
  <c r="G219" i="2"/>
  <c r="E219" i="2"/>
  <c r="F220" i="2"/>
  <c r="E220" i="2" l="1"/>
  <c r="F221" i="2"/>
  <c r="I219" i="2"/>
  <c r="J219" i="2" s="1"/>
  <c r="G220" i="2"/>
  <c r="I220" i="2" l="1"/>
  <c r="J220" i="2" s="1"/>
  <c r="G221" i="2"/>
  <c r="E221" i="2"/>
  <c r="F222" i="2"/>
  <c r="E222" i="2" l="1"/>
  <c r="F223" i="2"/>
  <c r="I221" i="2"/>
  <c r="J221" i="2" s="1"/>
  <c r="G222" i="2"/>
  <c r="I222" i="2" l="1"/>
  <c r="J222" i="2" s="1"/>
  <c r="G223" i="2"/>
  <c r="E223" i="2"/>
  <c r="F224" i="2"/>
  <c r="E224" i="2" l="1"/>
  <c r="F225" i="2"/>
  <c r="I223" i="2"/>
  <c r="J223" i="2" s="1"/>
  <c r="G224" i="2"/>
  <c r="I224" i="2" l="1"/>
  <c r="J224" i="2" s="1"/>
  <c r="G225" i="2"/>
  <c r="E225" i="2"/>
  <c r="F226" i="2"/>
  <c r="E226" i="2" l="1"/>
  <c r="F227" i="2"/>
  <c r="I225" i="2"/>
  <c r="J225" i="2" s="1"/>
  <c r="G226" i="2"/>
  <c r="I226" i="2" l="1"/>
  <c r="J226" i="2" s="1"/>
  <c r="G227" i="2"/>
  <c r="E227" i="2"/>
  <c r="F228" i="2"/>
  <c r="E228" i="2" l="1"/>
  <c r="F229" i="2"/>
  <c r="I227" i="2"/>
  <c r="J227" i="2" s="1"/>
  <c r="G228" i="2"/>
  <c r="E229" i="2" l="1"/>
  <c r="F230" i="2"/>
  <c r="I228" i="2"/>
  <c r="J228" i="2" s="1"/>
  <c r="G229" i="2"/>
  <c r="I229" i="2" l="1"/>
  <c r="J229" i="2" s="1"/>
  <c r="G230" i="2"/>
  <c r="E230" i="2"/>
  <c r="F231" i="2"/>
  <c r="E231" i="2" l="1"/>
  <c r="F232" i="2"/>
  <c r="I230" i="2"/>
  <c r="J230" i="2" s="1"/>
  <c r="G231" i="2"/>
  <c r="I231" i="2" l="1"/>
  <c r="J231" i="2" s="1"/>
  <c r="G232" i="2"/>
  <c r="E232" i="2"/>
  <c r="F233" i="2"/>
  <c r="I232" i="2" l="1"/>
  <c r="J232" i="2" s="1"/>
  <c r="G233" i="2"/>
  <c r="E233" i="2"/>
  <c r="F234" i="2"/>
  <c r="E234" i="2" l="1"/>
  <c r="F235" i="2"/>
  <c r="I233" i="2"/>
  <c r="J233" i="2" s="1"/>
  <c r="G234" i="2"/>
  <c r="E235" i="2" l="1"/>
  <c r="F236" i="2"/>
  <c r="I234" i="2"/>
  <c r="J234" i="2" s="1"/>
  <c r="G235" i="2"/>
  <c r="I235" i="2" l="1"/>
  <c r="J235" i="2" s="1"/>
  <c r="G236" i="2"/>
  <c r="E236" i="2"/>
  <c r="F237" i="2"/>
  <c r="I236" i="2" l="1"/>
  <c r="J236" i="2" s="1"/>
  <c r="G237" i="2"/>
  <c r="E237" i="2"/>
  <c r="F238" i="2"/>
  <c r="I237" i="2" l="1"/>
  <c r="J237" i="2" s="1"/>
  <c r="G238" i="2"/>
  <c r="E238" i="2"/>
  <c r="F239" i="2"/>
  <c r="E239" i="2" l="1"/>
  <c r="F240" i="2"/>
  <c r="I238" i="2"/>
  <c r="J238" i="2" s="1"/>
  <c r="G239" i="2"/>
  <c r="I239" i="2" l="1"/>
  <c r="J239" i="2" s="1"/>
  <c r="G240" i="2"/>
  <c r="E240" i="2"/>
  <c r="F241" i="2"/>
  <c r="E241" i="2" l="1"/>
  <c r="F242" i="2"/>
  <c r="I240" i="2"/>
  <c r="J240" i="2" s="1"/>
  <c r="G241" i="2"/>
  <c r="I241" i="2" l="1"/>
  <c r="J241" i="2" s="1"/>
  <c r="G242" i="2"/>
  <c r="E242" i="2"/>
  <c r="F243" i="2"/>
  <c r="I242" i="2" l="1"/>
  <c r="J242" i="2" s="1"/>
  <c r="G243" i="2"/>
  <c r="E243" i="2"/>
  <c r="F244" i="2"/>
  <c r="E244" i="2" l="1"/>
  <c r="F245" i="2"/>
  <c r="I243" i="2"/>
  <c r="J243" i="2" s="1"/>
  <c r="G244" i="2"/>
  <c r="I244" i="2" l="1"/>
  <c r="J244" i="2" s="1"/>
  <c r="G245" i="2"/>
  <c r="E245" i="2"/>
  <c r="F246" i="2"/>
  <c r="I245" i="2" l="1"/>
  <c r="J245" i="2" s="1"/>
  <c r="G246" i="2"/>
  <c r="E246" i="2"/>
  <c r="F247" i="2"/>
  <c r="E247" i="2" l="1"/>
  <c r="F248" i="2"/>
  <c r="I246" i="2"/>
  <c r="J246" i="2" s="1"/>
  <c r="G247" i="2"/>
  <c r="E248" i="2" l="1"/>
  <c r="F249" i="2"/>
  <c r="I247" i="2"/>
  <c r="J247" i="2" s="1"/>
  <c r="G248" i="2"/>
  <c r="E249" i="2" l="1"/>
  <c r="F250" i="2"/>
  <c r="I248" i="2"/>
  <c r="J248" i="2" s="1"/>
  <c r="G249" i="2"/>
  <c r="I249" i="2" l="1"/>
  <c r="J249" i="2" s="1"/>
  <c r="G250" i="2"/>
  <c r="E250" i="2"/>
  <c r="F251" i="2"/>
  <c r="E251" i="2" l="1"/>
  <c r="F252" i="2"/>
  <c r="I250" i="2"/>
  <c r="J250" i="2" s="1"/>
  <c r="G251" i="2"/>
  <c r="I251" i="2" l="1"/>
  <c r="J251" i="2" s="1"/>
  <c r="G252" i="2"/>
  <c r="E252" i="2"/>
  <c r="F253" i="2"/>
  <c r="E253" i="2" l="1"/>
  <c r="F254" i="2"/>
  <c r="I252" i="2"/>
  <c r="J252" i="2" s="1"/>
  <c r="G253" i="2"/>
  <c r="I253" i="2" l="1"/>
  <c r="J253" i="2" s="1"/>
  <c r="G254" i="2"/>
  <c r="E254" i="2"/>
  <c r="F255" i="2"/>
  <c r="I254" i="2" l="1"/>
  <c r="J254" i="2" s="1"/>
  <c r="G255" i="2"/>
  <c r="E255" i="2"/>
  <c r="F256" i="2"/>
  <c r="E256" i="2" l="1"/>
  <c r="F257" i="2"/>
  <c r="I255" i="2"/>
  <c r="J255" i="2" s="1"/>
  <c r="G256" i="2"/>
  <c r="E257" i="2" l="1"/>
  <c r="F258" i="2"/>
  <c r="I256" i="2"/>
  <c r="J256" i="2" s="1"/>
  <c r="G257" i="2"/>
  <c r="I257" i="2" l="1"/>
  <c r="J257" i="2" s="1"/>
  <c r="G258" i="2"/>
  <c r="E258" i="2"/>
  <c r="F259" i="2"/>
  <c r="E259" i="2" l="1"/>
  <c r="F260" i="2"/>
  <c r="I258" i="2"/>
  <c r="J258" i="2" s="1"/>
  <c r="G259" i="2"/>
  <c r="I259" i="2" l="1"/>
  <c r="J259" i="2" s="1"/>
  <c r="G260" i="2"/>
  <c r="E260" i="2"/>
  <c r="F261" i="2"/>
  <c r="I260" i="2" l="1"/>
  <c r="J260" i="2" s="1"/>
  <c r="G261" i="2"/>
  <c r="E261" i="2"/>
  <c r="F262" i="2"/>
  <c r="E262" i="2" l="1"/>
  <c r="F263" i="2"/>
  <c r="I261" i="2"/>
  <c r="J261" i="2" s="1"/>
  <c r="G262" i="2"/>
  <c r="I262" i="2" l="1"/>
  <c r="J262" i="2" s="1"/>
  <c r="G263" i="2"/>
  <c r="E263" i="2"/>
  <c r="F264" i="2"/>
  <c r="E264" i="2" l="1"/>
  <c r="F265" i="2"/>
  <c r="I263" i="2"/>
  <c r="J263" i="2" s="1"/>
  <c r="G264" i="2"/>
  <c r="E265" i="2" l="1"/>
  <c r="F266" i="2"/>
  <c r="I264" i="2"/>
  <c r="J264" i="2" s="1"/>
  <c r="G265" i="2"/>
  <c r="I265" i="2" l="1"/>
  <c r="J265" i="2" s="1"/>
  <c r="G266" i="2"/>
  <c r="E266" i="2"/>
  <c r="F267" i="2"/>
  <c r="E267" i="2" l="1"/>
  <c r="F268" i="2"/>
  <c r="I266" i="2"/>
  <c r="J266" i="2" s="1"/>
  <c r="G267" i="2"/>
  <c r="I267" i="2" l="1"/>
  <c r="J267" i="2" s="1"/>
  <c r="G268" i="2"/>
  <c r="E268" i="2"/>
  <c r="F269" i="2"/>
  <c r="E269" i="2" l="1"/>
  <c r="F270" i="2"/>
  <c r="I268" i="2"/>
  <c r="J268" i="2" s="1"/>
  <c r="G269" i="2"/>
  <c r="E270" i="2" l="1"/>
  <c r="F271" i="2"/>
  <c r="I269" i="2"/>
  <c r="J269" i="2" s="1"/>
  <c r="G270" i="2"/>
  <c r="I270" i="2" l="1"/>
  <c r="J270" i="2" s="1"/>
  <c r="G271" i="2"/>
  <c r="E271" i="2"/>
  <c r="F272" i="2"/>
  <c r="I271" i="2" l="1"/>
  <c r="J271" i="2" s="1"/>
  <c r="G272" i="2"/>
  <c r="E272" i="2"/>
  <c r="F273" i="2"/>
  <c r="E273" i="2" l="1"/>
  <c r="F274" i="2"/>
  <c r="I272" i="2"/>
  <c r="J272" i="2" s="1"/>
  <c r="G273" i="2"/>
  <c r="I273" i="2" l="1"/>
  <c r="J273" i="2" s="1"/>
  <c r="G274" i="2"/>
  <c r="E274" i="2"/>
  <c r="F275" i="2"/>
  <c r="E275" i="2" l="1"/>
  <c r="F276" i="2"/>
  <c r="I274" i="2"/>
  <c r="J274" i="2" s="1"/>
  <c r="G275" i="2"/>
  <c r="I275" i="2" l="1"/>
  <c r="J275" i="2" s="1"/>
  <c r="G276" i="2"/>
  <c r="E276" i="2"/>
  <c r="F277" i="2"/>
  <c r="E277" i="2" l="1"/>
  <c r="F278" i="2"/>
  <c r="I276" i="2"/>
  <c r="J276" i="2" s="1"/>
  <c r="G277" i="2"/>
  <c r="I277" i="2" l="1"/>
  <c r="J277" i="2" s="1"/>
  <c r="G278" i="2"/>
  <c r="E278" i="2"/>
  <c r="F279" i="2"/>
  <c r="E279" i="2" l="1"/>
  <c r="F280" i="2"/>
  <c r="I278" i="2"/>
  <c r="J278" i="2" s="1"/>
  <c r="G279" i="2"/>
  <c r="I279" i="2" l="1"/>
  <c r="J279" i="2" s="1"/>
  <c r="G280" i="2"/>
  <c r="E280" i="2"/>
  <c r="F281" i="2"/>
  <c r="I280" i="2" l="1"/>
  <c r="J280" i="2" s="1"/>
  <c r="G281" i="2"/>
  <c r="E281" i="2"/>
  <c r="F282" i="2"/>
  <c r="E282" i="2" l="1"/>
  <c r="F283" i="2"/>
  <c r="I281" i="2"/>
  <c r="J281" i="2" s="1"/>
  <c r="G282" i="2"/>
  <c r="I282" i="2" l="1"/>
  <c r="J282" i="2" s="1"/>
  <c r="G283" i="2"/>
  <c r="E283" i="2"/>
  <c r="F284" i="2"/>
  <c r="I283" i="2" l="1"/>
  <c r="J283" i="2" s="1"/>
  <c r="G284" i="2"/>
  <c r="E284" i="2"/>
  <c r="F285" i="2"/>
  <c r="E285" i="2" l="1"/>
  <c r="F286" i="2"/>
  <c r="I284" i="2"/>
  <c r="J284" i="2" s="1"/>
  <c r="G285" i="2"/>
  <c r="E286" i="2" l="1"/>
  <c r="F287" i="2"/>
  <c r="I285" i="2"/>
  <c r="J285" i="2" s="1"/>
  <c r="G286" i="2"/>
  <c r="I286" i="2" l="1"/>
  <c r="J286" i="2" s="1"/>
  <c r="G287" i="2"/>
  <c r="E287" i="2"/>
  <c r="F288" i="2"/>
  <c r="I287" i="2" l="1"/>
  <c r="J287" i="2" s="1"/>
  <c r="G288" i="2"/>
  <c r="E288" i="2"/>
  <c r="F289" i="2"/>
  <c r="E289" i="2" l="1"/>
  <c r="F290" i="2"/>
  <c r="I288" i="2"/>
  <c r="J288" i="2" s="1"/>
  <c r="G289" i="2"/>
  <c r="I289" i="2" l="1"/>
  <c r="J289" i="2" s="1"/>
  <c r="G290" i="2"/>
  <c r="E290" i="2"/>
  <c r="F291" i="2"/>
  <c r="I290" i="2" l="1"/>
  <c r="J290" i="2" s="1"/>
  <c r="G291" i="2"/>
  <c r="E291" i="2"/>
  <c r="F292" i="2"/>
  <c r="E292" i="2" l="1"/>
  <c r="F293" i="2"/>
  <c r="I291" i="2"/>
  <c r="J291" i="2" s="1"/>
  <c r="G292" i="2"/>
  <c r="I292" i="2" l="1"/>
  <c r="J292" i="2" s="1"/>
  <c r="G293" i="2"/>
  <c r="E293" i="2"/>
  <c r="F294" i="2"/>
  <c r="I293" i="2" l="1"/>
  <c r="J293" i="2" s="1"/>
  <c r="G294" i="2"/>
  <c r="E294" i="2"/>
  <c r="F295" i="2"/>
  <c r="E295" i="2" l="1"/>
  <c r="F296" i="2"/>
  <c r="I294" i="2"/>
  <c r="J294" i="2" s="1"/>
  <c r="G295" i="2"/>
  <c r="E296" i="2" l="1"/>
  <c r="F297" i="2"/>
  <c r="I295" i="2"/>
  <c r="J295" i="2" s="1"/>
  <c r="G296" i="2"/>
  <c r="I296" i="2" l="1"/>
  <c r="J296" i="2" s="1"/>
  <c r="G297" i="2"/>
  <c r="E297" i="2"/>
  <c r="F298" i="2"/>
  <c r="E298" i="2" l="1"/>
  <c r="F299" i="2"/>
  <c r="I297" i="2"/>
  <c r="J297" i="2" s="1"/>
  <c r="G298" i="2"/>
  <c r="I298" i="2" l="1"/>
  <c r="J298" i="2" s="1"/>
  <c r="G299" i="2"/>
  <c r="E299" i="2"/>
  <c r="F300" i="2"/>
  <c r="E300" i="2" l="1"/>
  <c r="F301" i="2"/>
  <c r="I299" i="2"/>
  <c r="J299" i="2" s="1"/>
  <c r="G300" i="2"/>
  <c r="I300" i="2" l="1"/>
  <c r="J300" i="2" s="1"/>
  <c r="G301" i="2"/>
  <c r="E301" i="2"/>
  <c r="F302" i="2"/>
  <c r="E302" i="2" l="1"/>
  <c r="F303" i="2"/>
  <c r="I301" i="2"/>
  <c r="J301" i="2" s="1"/>
  <c r="G302" i="2"/>
  <c r="I302" i="2" l="1"/>
  <c r="J302" i="2" s="1"/>
  <c r="G303" i="2"/>
  <c r="E303" i="2"/>
  <c r="F304" i="2"/>
  <c r="I303" i="2" l="1"/>
  <c r="J303" i="2" s="1"/>
  <c r="G304" i="2"/>
  <c r="E304" i="2"/>
  <c r="F305" i="2"/>
  <c r="E305" i="2" l="1"/>
  <c r="F306" i="2"/>
  <c r="I304" i="2"/>
  <c r="J304" i="2" s="1"/>
  <c r="G305" i="2"/>
  <c r="I305" i="2" l="1"/>
  <c r="J305" i="2" s="1"/>
  <c r="G306" i="2"/>
  <c r="E306" i="2"/>
  <c r="F307" i="2"/>
  <c r="I306" i="2" l="1"/>
  <c r="J306" i="2" s="1"/>
  <c r="G307" i="2"/>
  <c r="E307" i="2"/>
  <c r="F308" i="2"/>
  <c r="I307" i="2" l="1"/>
  <c r="J307" i="2" s="1"/>
  <c r="G308" i="2"/>
  <c r="E308" i="2"/>
  <c r="F309" i="2"/>
  <c r="E309" i="2" l="1"/>
  <c r="F310" i="2"/>
  <c r="I308" i="2"/>
  <c r="J308" i="2" s="1"/>
  <c r="G309" i="2"/>
  <c r="I309" i="2" l="1"/>
  <c r="J309" i="2" s="1"/>
  <c r="G310" i="2"/>
  <c r="E310" i="2"/>
  <c r="F311" i="2"/>
  <c r="E311" i="2" l="1"/>
  <c r="F312" i="2"/>
  <c r="I310" i="2"/>
  <c r="J310" i="2" s="1"/>
  <c r="G311" i="2"/>
  <c r="I311" i="2" l="1"/>
  <c r="J311" i="2" s="1"/>
  <c r="G312" i="2"/>
  <c r="E312" i="2"/>
  <c r="F313" i="2"/>
  <c r="E313" i="2" l="1"/>
  <c r="F314" i="2"/>
  <c r="I312" i="2"/>
  <c r="J312" i="2" s="1"/>
  <c r="G313" i="2"/>
  <c r="I313" i="2" l="1"/>
  <c r="J313" i="2" s="1"/>
  <c r="G314" i="2"/>
  <c r="E314" i="2"/>
  <c r="F315" i="2"/>
  <c r="E315" i="2" l="1"/>
  <c r="F316" i="2"/>
  <c r="I314" i="2"/>
  <c r="J314" i="2" s="1"/>
  <c r="G315" i="2"/>
  <c r="E316" i="2" l="1"/>
  <c r="F317" i="2"/>
  <c r="I315" i="2"/>
  <c r="J315" i="2" s="1"/>
  <c r="G316" i="2"/>
  <c r="I316" i="2" l="1"/>
  <c r="J316" i="2" s="1"/>
  <c r="G317" i="2"/>
  <c r="E317" i="2"/>
  <c r="F318" i="2"/>
  <c r="E318" i="2" l="1"/>
  <c r="F319" i="2"/>
  <c r="I317" i="2"/>
  <c r="J317" i="2" s="1"/>
  <c r="G318" i="2"/>
  <c r="I318" i="2" l="1"/>
  <c r="J318" i="2" s="1"/>
  <c r="G319" i="2"/>
  <c r="E319" i="2"/>
  <c r="F320" i="2"/>
  <c r="E320" i="2" l="1"/>
  <c r="F321" i="2"/>
  <c r="I319" i="2"/>
  <c r="J319" i="2" s="1"/>
  <c r="G320" i="2"/>
  <c r="I320" i="2" l="1"/>
  <c r="J320" i="2" s="1"/>
  <c r="G321" i="2"/>
  <c r="E321" i="2"/>
  <c r="F322" i="2"/>
  <c r="E322" i="2" l="1"/>
  <c r="F323" i="2"/>
  <c r="I321" i="2"/>
  <c r="J321" i="2" s="1"/>
  <c r="G322" i="2"/>
  <c r="E323" i="2" l="1"/>
  <c r="F324" i="2"/>
  <c r="I322" i="2"/>
  <c r="J322" i="2" s="1"/>
  <c r="G323" i="2"/>
  <c r="I323" i="2" l="1"/>
  <c r="J323" i="2" s="1"/>
  <c r="G324" i="2"/>
  <c r="E324" i="2"/>
  <c r="F325" i="2"/>
  <c r="E325" i="2" l="1"/>
  <c r="F326" i="2"/>
  <c r="I324" i="2"/>
  <c r="J324" i="2" s="1"/>
  <c r="G325" i="2"/>
  <c r="E326" i="2" l="1"/>
  <c r="F327" i="2"/>
  <c r="I325" i="2"/>
  <c r="J325" i="2" s="1"/>
  <c r="G326" i="2"/>
  <c r="I326" i="2" l="1"/>
  <c r="J326" i="2" s="1"/>
  <c r="G327" i="2"/>
  <c r="E327" i="2"/>
  <c r="F328" i="2"/>
  <c r="E328" i="2" l="1"/>
  <c r="F329" i="2"/>
  <c r="I327" i="2"/>
  <c r="J327" i="2" s="1"/>
  <c r="G328" i="2"/>
  <c r="I328" i="2" l="1"/>
  <c r="J328" i="2" s="1"/>
  <c r="G329" i="2"/>
  <c r="E329" i="2"/>
  <c r="F330" i="2"/>
  <c r="I329" i="2" l="1"/>
  <c r="J329" i="2" s="1"/>
  <c r="G330" i="2"/>
  <c r="E330" i="2"/>
  <c r="F331" i="2"/>
  <c r="E331" i="2" l="1"/>
  <c r="F332" i="2"/>
  <c r="I330" i="2"/>
  <c r="J330" i="2" s="1"/>
  <c r="G331" i="2"/>
  <c r="E332" i="2" l="1"/>
  <c r="F333" i="2"/>
  <c r="I331" i="2"/>
  <c r="J331" i="2" s="1"/>
  <c r="G332" i="2"/>
  <c r="I332" i="2" l="1"/>
  <c r="J332" i="2" s="1"/>
  <c r="G333" i="2"/>
  <c r="E333" i="2"/>
  <c r="F334" i="2"/>
  <c r="E334" i="2" l="1"/>
  <c r="F335" i="2"/>
  <c r="I333" i="2"/>
  <c r="J333" i="2" s="1"/>
  <c r="G334" i="2"/>
  <c r="I334" i="2" l="1"/>
  <c r="J334" i="2" s="1"/>
  <c r="G335" i="2"/>
  <c r="E335" i="2"/>
  <c r="F336" i="2"/>
  <c r="E336" i="2" l="1"/>
  <c r="F337" i="2"/>
  <c r="I335" i="2"/>
  <c r="J335" i="2" s="1"/>
  <c r="G336" i="2"/>
  <c r="I336" i="2" l="1"/>
  <c r="J336" i="2" s="1"/>
  <c r="G337" i="2"/>
  <c r="E337" i="2"/>
  <c r="F338" i="2"/>
  <c r="I337" i="2" l="1"/>
  <c r="J337" i="2" s="1"/>
  <c r="G338" i="2"/>
  <c r="E338" i="2"/>
  <c r="F339" i="2"/>
  <c r="E339" i="2" l="1"/>
  <c r="F340" i="2"/>
  <c r="I338" i="2"/>
  <c r="J338" i="2" s="1"/>
  <c r="G339" i="2"/>
  <c r="I339" i="2" l="1"/>
  <c r="J339" i="2" s="1"/>
  <c r="G340" i="2"/>
  <c r="E340" i="2"/>
  <c r="F341" i="2"/>
  <c r="E341" i="2" l="1"/>
  <c r="F342" i="2"/>
  <c r="I340" i="2"/>
  <c r="J340" i="2" s="1"/>
  <c r="G341" i="2"/>
  <c r="I341" i="2" l="1"/>
  <c r="J341" i="2" s="1"/>
  <c r="G342" i="2"/>
  <c r="E342" i="2"/>
  <c r="F343" i="2"/>
  <c r="E343" i="2" l="1"/>
  <c r="F344" i="2"/>
  <c r="I342" i="2"/>
  <c r="J342" i="2" s="1"/>
  <c r="G343" i="2"/>
  <c r="I343" i="2" l="1"/>
  <c r="J343" i="2" s="1"/>
  <c r="G344" i="2"/>
  <c r="E344" i="2"/>
  <c r="F345" i="2"/>
  <c r="E345" i="2" l="1"/>
  <c r="F346" i="2"/>
  <c r="I344" i="2"/>
  <c r="J344" i="2" s="1"/>
  <c r="G345" i="2"/>
  <c r="I345" i="2" l="1"/>
  <c r="J345" i="2" s="1"/>
  <c r="G346" i="2"/>
  <c r="E346" i="2"/>
  <c r="F347" i="2"/>
  <c r="E347" i="2" l="1"/>
  <c r="F348" i="2"/>
  <c r="I346" i="2"/>
  <c r="J346" i="2" s="1"/>
  <c r="G347" i="2"/>
  <c r="I347" i="2" l="1"/>
  <c r="J347" i="2" s="1"/>
  <c r="G348" i="2"/>
  <c r="E348" i="2"/>
  <c r="F349" i="2"/>
  <c r="E349" i="2" l="1"/>
  <c r="F350" i="2"/>
  <c r="I348" i="2"/>
  <c r="J348" i="2" s="1"/>
  <c r="G349" i="2"/>
  <c r="I349" i="2" l="1"/>
  <c r="J349" i="2" s="1"/>
  <c r="G350" i="2"/>
  <c r="E350" i="2"/>
  <c r="F351" i="2"/>
  <c r="E351" i="2" l="1"/>
  <c r="F352" i="2"/>
  <c r="I350" i="2"/>
  <c r="J350" i="2" s="1"/>
  <c r="G351" i="2"/>
  <c r="I351" i="2" l="1"/>
  <c r="J351" i="2" s="1"/>
  <c r="G352" i="2"/>
  <c r="E352" i="2"/>
  <c r="F353" i="2"/>
  <c r="E353" i="2" l="1"/>
  <c r="F354" i="2"/>
  <c r="I352" i="2"/>
  <c r="J352" i="2" s="1"/>
  <c r="G353" i="2"/>
  <c r="I353" i="2" l="1"/>
  <c r="J353" i="2" s="1"/>
  <c r="G354" i="2"/>
  <c r="E354" i="2"/>
  <c r="F355" i="2"/>
  <c r="E355" i="2" l="1"/>
  <c r="F356" i="2"/>
  <c r="I354" i="2"/>
  <c r="J354" i="2" s="1"/>
  <c r="G355" i="2"/>
  <c r="E356" i="2" l="1"/>
  <c r="F357" i="2"/>
  <c r="I355" i="2"/>
  <c r="J355" i="2" s="1"/>
  <c r="G356" i="2"/>
  <c r="I356" i="2" l="1"/>
  <c r="J356" i="2" s="1"/>
  <c r="G357" i="2"/>
  <c r="E357" i="2"/>
  <c r="F358" i="2"/>
  <c r="E358" i="2" l="1"/>
  <c r="F359" i="2"/>
  <c r="I357" i="2"/>
  <c r="J357" i="2" s="1"/>
  <c r="G358" i="2"/>
  <c r="I358" i="2" l="1"/>
  <c r="J358" i="2" s="1"/>
  <c r="G359" i="2"/>
  <c r="E359" i="2"/>
  <c r="F360" i="2"/>
  <c r="I359" i="2" l="1"/>
  <c r="J359" i="2" s="1"/>
  <c r="G360" i="2"/>
  <c r="E360" i="2"/>
  <c r="F361" i="2"/>
  <c r="E361" i="2" l="1"/>
  <c r="F362" i="2"/>
  <c r="I360" i="2"/>
  <c r="J360" i="2" s="1"/>
  <c r="G361" i="2"/>
  <c r="I361" i="2" l="1"/>
  <c r="J361" i="2" s="1"/>
  <c r="G362" i="2"/>
  <c r="E362" i="2"/>
  <c r="F363" i="2"/>
  <c r="E363" i="2" l="1"/>
  <c r="F364" i="2"/>
  <c r="I362" i="2"/>
  <c r="J362" i="2" s="1"/>
  <c r="G363" i="2"/>
  <c r="I363" i="2" l="1"/>
  <c r="J363" i="2" s="1"/>
  <c r="G364" i="2"/>
  <c r="E364" i="2"/>
  <c r="F365" i="2"/>
  <c r="E365" i="2" l="1"/>
  <c r="F366" i="2"/>
  <c r="I364" i="2"/>
  <c r="J364" i="2" s="1"/>
  <c r="G365" i="2"/>
  <c r="E366" i="2" l="1"/>
  <c r="F367" i="2"/>
  <c r="I365" i="2"/>
  <c r="J365" i="2" s="1"/>
  <c r="G366" i="2"/>
  <c r="I366" i="2" l="1"/>
  <c r="J366" i="2" s="1"/>
  <c r="G367" i="2"/>
  <c r="E367" i="2"/>
  <c r="F368" i="2"/>
  <c r="E368" i="2" l="1"/>
  <c r="F369" i="2"/>
  <c r="I367" i="2"/>
  <c r="J367" i="2" s="1"/>
  <c r="G368" i="2"/>
  <c r="E369" i="2" l="1"/>
  <c r="F370" i="2"/>
  <c r="I368" i="2"/>
  <c r="J368" i="2" s="1"/>
  <c r="G369" i="2"/>
  <c r="I369" i="2" l="1"/>
  <c r="J369" i="2" s="1"/>
  <c r="G370" i="2"/>
  <c r="E370" i="2"/>
  <c r="F371" i="2"/>
  <c r="I370" i="2" l="1"/>
  <c r="J370" i="2" s="1"/>
  <c r="G371" i="2"/>
  <c r="E371" i="2"/>
  <c r="F372" i="2"/>
  <c r="E372" i="2" l="1"/>
  <c r="F373" i="2"/>
  <c r="I371" i="2"/>
  <c r="J371" i="2" s="1"/>
  <c r="G372" i="2"/>
  <c r="I372" i="2" l="1"/>
  <c r="J372" i="2" s="1"/>
  <c r="G373" i="2"/>
  <c r="E373" i="2"/>
  <c r="F374" i="2"/>
  <c r="I373" i="2" l="1"/>
  <c r="J373" i="2" s="1"/>
  <c r="G374" i="2"/>
  <c r="E374" i="2"/>
  <c r="F375" i="2"/>
  <c r="E375" i="2" l="1"/>
  <c r="F376" i="2"/>
  <c r="I374" i="2"/>
  <c r="J374" i="2" s="1"/>
  <c r="G375" i="2"/>
  <c r="E376" i="2" l="1"/>
  <c r="F377" i="2"/>
  <c r="I375" i="2"/>
  <c r="J375" i="2" s="1"/>
  <c r="G376" i="2"/>
  <c r="I376" i="2" l="1"/>
  <c r="J376" i="2" s="1"/>
  <c r="G377" i="2"/>
  <c r="E377" i="2"/>
  <c r="F378" i="2"/>
  <c r="I377" i="2" l="1"/>
  <c r="J377" i="2" s="1"/>
  <c r="G378" i="2"/>
  <c r="E378" i="2"/>
  <c r="F379" i="2"/>
  <c r="E379" i="2" l="1"/>
  <c r="F380" i="2"/>
  <c r="I378" i="2"/>
  <c r="J378" i="2" s="1"/>
  <c r="G379" i="2"/>
  <c r="I379" i="2" l="1"/>
  <c r="J379" i="2" s="1"/>
  <c r="G380" i="2"/>
  <c r="E380" i="2"/>
  <c r="F381" i="2"/>
  <c r="E381" i="2" l="1"/>
  <c r="F382" i="2"/>
  <c r="I380" i="2"/>
  <c r="J380" i="2" s="1"/>
  <c r="G381" i="2"/>
  <c r="E382" i="2" l="1"/>
  <c r="F383" i="2"/>
  <c r="I381" i="2"/>
  <c r="J381" i="2" s="1"/>
  <c r="G382" i="2"/>
  <c r="I382" i="2" l="1"/>
  <c r="J382" i="2" s="1"/>
  <c r="G383" i="2"/>
  <c r="E383" i="2"/>
  <c r="F384" i="2"/>
  <c r="E384" i="2" l="1"/>
  <c r="F385" i="2"/>
  <c r="I383" i="2"/>
  <c r="J383" i="2" s="1"/>
  <c r="G384" i="2"/>
  <c r="I384" i="2" l="1"/>
  <c r="J384" i="2" s="1"/>
  <c r="G385" i="2"/>
  <c r="E385" i="2"/>
  <c r="F386" i="2"/>
  <c r="I385" i="2" l="1"/>
  <c r="J385" i="2" s="1"/>
  <c r="G386" i="2"/>
  <c r="E386" i="2"/>
  <c r="F387" i="2"/>
  <c r="E387" i="2" l="1"/>
  <c r="F388" i="2"/>
  <c r="I386" i="2"/>
  <c r="J386" i="2" s="1"/>
  <c r="G387" i="2"/>
  <c r="I387" i="2" l="1"/>
  <c r="J387" i="2" s="1"/>
  <c r="G388" i="2"/>
  <c r="E388" i="2"/>
  <c r="F389" i="2"/>
  <c r="E389" i="2" l="1"/>
  <c r="F390" i="2"/>
  <c r="I388" i="2"/>
  <c r="J388" i="2" s="1"/>
  <c r="G389" i="2"/>
  <c r="I389" i="2" l="1"/>
  <c r="J389" i="2" s="1"/>
  <c r="G390" i="2"/>
  <c r="E390" i="2"/>
  <c r="F391" i="2"/>
  <c r="E391" i="2" l="1"/>
  <c r="F392" i="2"/>
  <c r="I390" i="2"/>
  <c r="J390" i="2" s="1"/>
  <c r="G391" i="2"/>
  <c r="I391" i="2" l="1"/>
  <c r="J391" i="2" s="1"/>
  <c r="G392" i="2"/>
  <c r="E392" i="2"/>
  <c r="F393" i="2"/>
  <c r="E393" i="2" l="1"/>
  <c r="F394" i="2"/>
  <c r="I392" i="2"/>
  <c r="J392" i="2" s="1"/>
  <c r="G393" i="2"/>
  <c r="E394" i="2" l="1"/>
  <c r="F395" i="2"/>
  <c r="I393" i="2"/>
  <c r="J393" i="2" s="1"/>
  <c r="G394" i="2"/>
  <c r="I394" i="2" l="1"/>
  <c r="J394" i="2" s="1"/>
  <c r="G395" i="2"/>
  <c r="E395" i="2"/>
  <c r="F396" i="2"/>
  <c r="E396" i="2" l="1"/>
  <c r="F397" i="2"/>
  <c r="I395" i="2"/>
  <c r="J395" i="2" s="1"/>
  <c r="G396" i="2"/>
  <c r="I396" i="2" l="1"/>
  <c r="J396" i="2" s="1"/>
  <c r="G397" i="2"/>
  <c r="E397" i="2"/>
  <c r="F398" i="2"/>
  <c r="E398" i="2" l="1"/>
  <c r="F399" i="2"/>
  <c r="I397" i="2"/>
  <c r="J397" i="2" s="1"/>
  <c r="G398" i="2"/>
  <c r="I398" i="2" l="1"/>
  <c r="J398" i="2" s="1"/>
  <c r="G399" i="2"/>
  <c r="E399" i="2"/>
  <c r="F400" i="2"/>
  <c r="E400" i="2" l="1"/>
  <c r="F401" i="2"/>
  <c r="I399" i="2"/>
  <c r="J399" i="2" s="1"/>
  <c r="G400" i="2"/>
  <c r="I400" i="2" l="1"/>
  <c r="J400" i="2" s="1"/>
  <c r="G401" i="2"/>
  <c r="E401" i="2"/>
  <c r="F402" i="2"/>
  <c r="E402" i="2" l="1"/>
  <c r="F403" i="2"/>
  <c r="I401" i="2"/>
  <c r="J401" i="2" s="1"/>
  <c r="G402" i="2"/>
  <c r="I402" i="2" l="1"/>
  <c r="J402" i="2" s="1"/>
  <c r="G403" i="2"/>
  <c r="E403" i="2"/>
  <c r="F404" i="2"/>
  <c r="E404" i="2" l="1"/>
  <c r="F405" i="2"/>
  <c r="I403" i="2"/>
  <c r="J403" i="2" s="1"/>
  <c r="G404" i="2"/>
  <c r="E405" i="2" l="1"/>
  <c r="F406" i="2"/>
  <c r="I404" i="2"/>
  <c r="J404" i="2" s="1"/>
  <c r="G405" i="2"/>
  <c r="I405" i="2" l="1"/>
  <c r="J405" i="2" s="1"/>
  <c r="G406" i="2"/>
  <c r="E406" i="2"/>
  <c r="F407" i="2"/>
  <c r="I406" i="2" l="1"/>
  <c r="J406" i="2" s="1"/>
  <c r="G407" i="2"/>
  <c r="E407" i="2"/>
  <c r="F408" i="2"/>
  <c r="E408" i="2" l="1"/>
  <c r="F409" i="2"/>
  <c r="I407" i="2"/>
  <c r="J407" i="2" s="1"/>
  <c r="G408" i="2"/>
  <c r="E409" i="2" l="1"/>
  <c r="F410" i="2"/>
  <c r="I408" i="2"/>
  <c r="J408" i="2" s="1"/>
  <c r="G409" i="2"/>
  <c r="I409" i="2" l="1"/>
  <c r="J409" i="2" s="1"/>
  <c r="G410" i="2"/>
  <c r="E410" i="2"/>
  <c r="F411" i="2"/>
  <c r="E411" i="2" l="1"/>
  <c r="F412" i="2"/>
  <c r="I410" i="2"/>
  <c r="J410" i="2" s="1"/>
  <c r="G411" i="2"/>
  <c r="I411" i="2" l="1"/>
  <c r="J411" i="2" s="1"/>
  <c r="G412" i="2"/>
  <c r="E412" i="2"/>
  <c r="F413" i="2"/>
  <c r="E413" i="2" l="1"/>
  <c r="F414" i="2"/>
  <c r="I412" i="2"/>
  <c r="J412" i="2" s="1"/>
  <c r="G413" i="2"/>
  <c r="I413" i="2" l="1"/>
  <c r="J413" i="2" s="1"/>
  <c r="G414" i="2"/>
  <c r="E414" i="2"/>
  <c r="F415" i="2"/>
  <c r="E415" i="2" l="1"/>
  <c r="F416" i="2"/>
  <c r="I414" i="2"/>
  <c r="J414" i="2" s="1"/>
  <c r="G415" i="2"/>
  <c r="I415" i="2" l="1"/>
  <c r="J415" i="2" s="1"/>
  <c r="G416" i="2"/>
  <c r="E416" i="2"/>
  <c r="F417" i="2"/>
  <c r="I416" i="2" l="1"/>
  <c r="J416" i="2" s="1"/>
  <c r="G417" i="2"/>
  <c r="E417" i="2"/>
  <c r="F418" i="2"/>
  <c r="E418" i="2" l="1"/>
  <c r="F419" i="2"/>
  <c r="I417" i="2"/>
  <c r="J417" i="2" s="1"/>
  <c r="G418" i="2"/>
  <c r="E419" i="2" l="1"/>
  <c r="F420" i="2"/>
  <c r="I418" i="2"/>
  <c r="J418" i="2" s="1"/>
  <c r="G419" i="2"/>
  <c r="I419" i="2" l="1"/>
  <c r="J419" i="2" s="1"/>
  <c r="G420" i="2"/>
  <c r="E420" i="2"/>
  <c r="F421" i="2"/>
  <c r="E421" i="2" l="1"/>
  <c r="F422" i="2"/>
  <c r="I420" i="2"/>
  <c r="J420" i="2" s="1"/>
  <c r="G421" i="2"/>
  <c r="I421" i="2" l="1"/>
  <c r="J421" i="2" s="1"/>
  <c r="G422" i="2"/>
  <c r="E422" i="2"/>
  <c r="F423" i="2"/>
  <c r="E423" i="2" l="1"/>
  <c r="F424" i="2"/>
  <c r="I422" i="2"/>
  <c r="J422" i="2" s="1"/>
  <c r="G423" i="2"/>
  <c r="I423" i="2" l="1"/>
  <c r="J423" i="2" s="1"/>
  <c r="G424" i="2"/>
  <c r="E424" i="2"/>
  <c r="F425" i="2"/>
  <c r="E425" i="2" l="1"/>
  <c r="F426" i="2"/>
  <c r="I424" i="2"/>
  <c r="J424" i="2" s="1"/>
  <c r="G425" i="2"/>
  <c r="I425" i="2" l="1"/>
  <c r="J425" i="2" s="1"/>
  <c r="G426" i="2"/>
  <c r="E426" i="2"/>
  <c r="F427" i="2"/>
  <c r="E427" i="2" l="1"/>
  <c r="F428" i="2"/>
  <c r="I426" i="2"/>
  <c r="J426" i="2" s="1"/>
  <c r="G427" i="2"/>
  <c r="I427" i="2" l="1"/>
  <c r="J427" i="2" s="1"/>
  <c r="G428" i="2"/>
  <c r="E428" i="2"/>
  <c r="F429" i="2"/>
  <c r="E429" i="2" l="1"/>
  <c r="F430" i="2"/>
  <c r="I428" i="2"/>
  <c r="J428" i="2" s="1"/>
  <c r="G429" i="2"/>
  <c r="I429" i="2" l="1"/>
  <c r="J429" i="2" s="1"/>
  <c r="G430" i="2"/>
  <c r="E430" i="2"/>
  <c r="F431" i="2"/>
  <c r="I430" i="2" l="1"/>
  <c r="J430" i="2" s="1"/>
  <c r="G431" i="2"/>
  <c r="E431" i="2"/>
  <c r="F432" i="2"/>
  <c r="E432" i="2" l="1"/>
  <c r="F433" i="2"/>
  <c r="I431" i="2"/>
  <c r="J431" i="2" s="1"/>
  <c r="G432" i="2"/>
  <c r="I432" i="2" l="1"/>
  <c r="J432" i="2" s="1"/>
  <c r="G433" i="2"/>
  <c r="E433" i="2"/>
  <c r="F434" i="2"/>
  <c r="I433" i="2" l="1"/>
  <c r="J433" i="2" s="1"/>
  <c r="G434" i="2"/>
  <c r="E434" i="2"/>
  <c r="F435" i="2"/>
  <c r="I434" i="2" l="1"/>
  <c r="J434" i="2" s="1"/>
  <c r="G435" i="2"/>
  <c r="E435" i="2"/>
  <c r="F436" i="2"/>
  <c r="E436" i="2" l="1"/>
  <c r="F437" i="2"/>
  <c r="I435" i="2"/>
  <c r="J435" i="2" s="1"/>
  <c r="G436" i="2"/>
  <c r="I436" i="2" l="1"/>
  <c r="J436" i="2" s="1"/>
  <c r="G437" i="2"/>
  <c r="E437" i="2"/>
  <c r="F438" i="2"/>
  <c r="I437" i="2" l="1"/>
  <c r="J437" i="2" s="1"/>
  <c r="G438" i="2"/>
  <c r="E438" i="2"/>
  <c r="F439" i="2"/>
  <c r="E439" i="2" l="1"/>
  <c r="F440" i="2"/>
  <c r="I438" i="2"/>
  <c r="J438" i="2" s="1"/>
  <c r="G439" i="2"/>
  <c r="I439" i="2" l="1"/>
  <c r="J439" i="2" s="1"/>
  <c r="G440" i="2"/>
  <c r="E440" i="2"/>
  <c r="F441" i="2"/>
  <c r="E441" i="2" l="1"/>
  <c r="F442" i="2"/>
  <c r="I440" i="2"/>
  <c r="J440" i="2" s="1"/>
  <c r="G441" i="2"/>
  <c r="I441" i="2" l="1"/>
  <c r="J441" i="2" s="1"/>
  <c r="G442" i="2"/>
  <c r="E442" i="2"/>
  <c r="F443" i="2"/>
  <c r="E443" i="2" l="1"/>
  <c r="F444" i="2"/>
  <c r="I442" i="2"/>
  <c r="J442" i="2" s="1"/>
  <c r="G443" i="2"/>
  <c r="I443" i="2" l="1"/>
  <c r="J443" i="2" s="1"/>
  <c r="G444" i="2"/>
  <c r="E444" i="2"/>
  <c r="F445" i="2"/>
  <c r="E445" i="2" l="1"/>
  <c r="F446" i="2"/>
  <c r="I444" i="2"/>
  <c r="J444" i="2" s="1"/>
  <c r="G445" i="2"/>
  <c r="E446" i="2" l="1"/>
  <c r="F447" i="2"/>
  <c r="I445" i="2"/>
  <c r="J445" i="2" s="1"/>
  <c r="G446" i="2"/>
  <c r="I446" i="2" l="1"/>
  <c r="J446" i="2" s="1"/>
  <c r="G447" i="2"/>
  <c r="E447" i="2"/>
  <c r="F448" i="2"/>
  <c r="E448" i="2" l="1"/>
  <c r="F449" i="2"/>
  <c r="I447" i="2"/>
  <c r="J447" i="2" s="1"/>
  <c r="G448" i="2"/>
  <c r="I448" i="2" l="1"/>
  <c r="J448" i="2" s="1"/>
  <c r="G449" i="2"/>
  <c r="E449" i="2"/>
  <c r="F450" i="2"/>
  <c r="I449" i="2" l="1"/>
  <c r="J449" i="2" s="1"/>
  <c r="G450" i="2"/>
  <c r="E450" i="2"/>
  <c r="F451" i="2"/>
  <c r="E451" i="2" l="1"/>
  <c r="F452" i="2"/>
  <c r="I450" i="2"/>
  <c r="J450" i="2" s="1"/>
  <c r="G451" i="2"/>
  <c r="E452" i="2" l="1"/>
  <c r="F453" i="2"/>
  <c r="I451" i="2"/>
  <c r="J451" i="2" s="1"/>
  <c r="G452" i="2"/>
  <c r="I452" i="2" l="1"/>
  <c r="J452" i="2" s="1"/>
  <c r="G453" i="2"/>
  <c r="E453" i="2"/>
  <c r="F454" i="2"/>
  <c r="I453" i="2" l="1"/>
  <c r="J453" i="2" s="1"/>
  <c r="G454" i="2"/>
  <c r="E454" i="2"/>
  <c r="F455" i="2"/>
  <c r="I454" i="2" l="1"/>
  <c r="J454" i="2" s="1"/>
  <c r="G455" i="2"/>
  <c r="E455" i="2"/>
  <c r="F456" i="2"/>
  <c r="I455" i="2" l="1"/>
  <c r="J455" i="2" s="1"/>
  <c r="G456" i="2"/>
  <c r="E456" i="2"/>
  <c r="F457" i="2"/>
  <c r="E457" i="2" l="1"/>
  <c r="F458" i="2"/>
  <c r="I456" i="2"/>
  <c r="J456" i="2" s="1"/>
  <c r="G457" i="2"/>
  <c r="I457" i="2" l="1"/>
  <c r="J457" i="2" s="1"/>
  <c r="G458" i="2"/>
  <c r="E458" i="2"/>
  <c r="F459" i="2"/>
  <c r="E459" i="2" l="1"/>
  <c r="F460" i="2"/>
  <c r="I458" i="2"/>
  <c r="J458" i="2" s="1"/>
  <c r="G459" i="2"/>
  <c r="I459" i="2" l="1"/>
  <c r="J459" i="2" s="1"/>
  <c r="G460" i="2"/>
  <c r="E460" i="2"/>
  <c r="F461" i="2"/>
  <c r="I460" i="2" l="1"/>
  <c r="J460" i="2" s="1"/>
  <c r="G461" i="2"/>
  <c r="E461" i="2"/>
  <c r="F462" i="2"/>
  <c r="E462" i="2" l="1"/>
  <c r="F463" i="2"/>
  <c r="I461" i="2"/>
  <c r="J461" i="2" s="1"/>
  <c r="G462" i="2"/>
  <c r="E463" i="2" l="1"/>
  <c r="F464" i="2"/>
  <c r="I462" i="2"/>
  <c r="J462" i="2" s="1"/>
  <c r="G463" i="2"/>
  <c r="I463" i="2" l="1"/>
  <c r="J463" i="2" s="1"/>
  <c r="G464" i="2"/>
  <c r="E464" i="2"/>
  <c r="F465" i="2"/>
  <c r="I464" i="2" l="1"/>
  <c r="J464" i="2" s="1"/>
  <c r="G465" i="2"/>
  <c r="E465" i="2"/>
  <c r="F466" i="2"/>
  <c r="E466" i="2" l="1"/>
  <c r="F467" i="2"/>
  <c r="I465" i="2"/>
  <c r="J465" i="2" s="1"/>
  <c r="G466" i="2"/>
  <c r="I466" i="2" l="1"/>
  <c r="J466" i="2" s="1"/>
  <c r="G467" i="2"/>
  <c r="E467" i="2"/>
  <c r="F468" i="2"/>
  <c r="E468" i="2" l="1"/>
  <c r="F469" i="2"/>
  <c r="I467" i="2"/>
  <c r="J467" i="2" s="1"/>
  <c r="G468" i="2"/>
  <c r="I468" i="2" l="1"/>
  <c r="J468" i="2" s="1"/>
  <c r="G469" i="2"/>
  <c r="E469" i="2"/>
  <c r="F470" i="2"/>
  <c r="E470" i="2" l="1"/>
  <c r="F471" i="2"/>
  <c r="I469" i="2"/>
  <c r="J469" i="2" s="1"/>
  <c r="G470" i="2"/>
  <c r="I470" i="2" l="1"/>
  <c r="J470" i="2" s="1"/>
  <c r="G471" i="2"/>
  <c r="E471" i="2"/>
  <c r="F472" i="2"/>
  <c r="E472" i="2" l="1"/>
  <c r="F473" i="2"/>
  <c r="I471" i="2"/>
  <c r="J471" i="2" s="1"/>
  <c r="G472" i="2"/>
  <c r="E473" i="2" l="1"/>
  <c r="F474" i="2"/>
  <c r="I472" i="2"/>
  <c r="J472" i="2" s="1"/>
  <c r="G473" i="2"/>
  <c r="I473" i="2" l="1"/>
  <c r="J473" i="2" s="1"/>
  <c r="G474" i="2"/>
  <c r="E474" i="2"/>
  <c r="F475" i="2"/>
  <c r="E475" i="2" l="1"/>
  <c r="F476" i="2"/>
  <c r="I474" i="2"/>
  <c r="J474" i="2" s="1"/>
  <c r="G475" i="2"/>
  <c r="E476" i="2" l="1"/>
  <c r="F477" i="2"/>
  <c r="I475" i="2"/>
  <c r="J475" i="2" s="1"/>
  <c r="G476" i="2"/>
  <c r="E477" i="2" l="1"/>
  <c r="F478" i="2"/>
  <c r="I476" i="2"/>
  <c r="J476" i="2" s="1"/>
  <c r="G477" i="2"/>
  <c r="I477" i="2" l="1"/>
  <c r="J477" i="2" s="1"/>
  <c r="G478" i="2"/>
  <c r="E478" i="2"/>
  <c r="F479" i="2"/>
  <c r="E479" i="2" l="1"/>
  <c r="F480" i="2"/>
  <c r="I478" i="2"/>
  <c r="J478" i="2" s="1"/>
  <c r="G479" i="2"/>
  <c r="I479" i="2" l="1"/>
  <c r="J479" i="2" s="1"/>
  <c r="G480" i="2"/>
  <c r="E480" i="2"/>
  <c r="F481" i="2"/>
  <c r="E481" i="2" l="1"/>
  <c r="F482" i="2"/>
  <c r="I480" i="2"/>
  <c r="J480" i="2" s="1"/>
  <c r="G481" i="2"/>
  <c r="I481" i="2" l="1"/>
  <c r="J481" i="2" s="1"/>
  <c r="G482" i="2"/>
  <c r="E482" i="2"/>
  <c r="F483" i="2"/>
  <c r="I482" i="2" l="1"/>
  <c r="J482" i="2" s="1"/>
  <c r="G483" i="2"/>
  <c r="E483" i="2"/>
  <c r="F484" i="2"/>
  <c r="I483" i="2" l="1"/>
  <c r="J483" i="2" s="1"/>
  <c r="G484" i="2"/>
  <c r="E484" i="2"/>
  <c r="F485" i="2"/>
  <c r="E485" i="2" l="1"/>
  <c r="F486" i="2"/>
  <c r="I484" i="2"/>
  <c r="J484" i="2" s="1"/>
  <c r="G485" i="2"/>
  <c r="I485" i="2" l="1"/>
  <c r="J485" i="2" s="1"/>
  <c r="G486" i="2"/>
  <c r="E486" i="2"/>
  <c r="F487" i="2"/>
  <c r="E487" i="2" l="1"/>
  <c r="F488" i="2"/>
  <c r="I486" i="2"/>
  <c r="J486" i="2" s="1"/>
  <c r="G487" i="2"/>
  <c r="I487" i="2" l="1"/>
  <c r="J487" i="2" s="1"/>
  <c r="G488" i="2"/>
  <c r="E488" i="2"/>
  <c r="F489" i="2"/>
  <c r="E489" i="2" l="1"/>
  <c r="F490" i="2"/>
  <c r="I488" i="2"/>
  <c r="J488" i="2" s="1"/>
  <c r="G489" i="2"/>
  <c r="E490" i="2" l="1"/>
  <c r="F491" i="2"/>
  <c r="I489" i="2"/>
  <c r="J489" i="2" s="1"/>
  <c r="G490" i="2"/>
  <c r="E491" i="2" l="1"/>
  <c r="F492" i="2"/>
  <c r="I490" i="2"/>
  <c r="J490" i="2" s="1"/>
  <c r="G491" i="2"/>
  <c r="E492" i="2" l="1"/>
  <c r="F493" i="2"/>
  <c r="I491" i="2"/>
  <c r="J491" i="2" s="1"/>
  <c r="G492" i="2"/>
  <c r="I492" i="2" l="1"/>
  <c r="J492" i="2" s="1"/>
  <c r="G493" i="2"/>
  <c r="E493" i="2"/>
  <c r="F494" i="2"/>
  <c r="I493" i="2" l="1"/>
  <c r="J493" i="2" s="1"/>
  <c r="G494" i="2"/>
  <c r="E494" i="2"/>
  <c r="F495" i="2"/>
  <c r="E495" i="2" l="1"/>
  <c r="F496" i="2"/>
  <c r="I494" i="2"/>
  <c r="J494" i="2" s="1"/>
  <c r="G495" i="2"/>
  <c r="I495" i="2" l="1"/>
  <c r="J495" i="2" s="1"/>
  <c r="G496" i="2"/>
  <c r="E496" i="2"/>
  <c r="F497" i="2"/>
  <c r="E497" i="2" l="1"/>
  <c r="F498" i="2"/>
  <c r="I496" i="2"/>
  <c r="J496" i="2" s="1"/>
  <c r="G497" i="2"/>
  <c r="I497" i="2" l="1"/>
  <c r="J497" i="2" s="1"/>
  <c r="G498" i="2"/>
  <c r="E498" i="2"/>
  <c r="F499" i="2"/>
  <c r="E499" i="2" l="1"/>
  <c r="F500" i="2"/>
  <c r="I498" i="2"/>
  <c r="J498" i="2" s="1"/>
  <c r="G499" i="2"/>
  <c r="I499" i="2" l="1"/>
  <c r="J499" i="2" s="1"/>
  <c r="G500" i="2"/>
  <c r="E500" i="2"/>
  <c r="F501" i="2"/>
  <c r="I500" i="2" l="1"/>
  <c r="J500" i="2" s="1"/>
  <c r="G501" i="2"/>
  <c r="E501" i="2"/>
  <c r="F502" i="2"/>
  <c r="E502" i="2" l="1"/>
  <c r="F503" i="2"/>
  <c r="I501" i="2"/>
  <c r="J501" i="2" s="1"/>
  <c r="G502" i="2"/>
  <c r="I502" i="2" l="1"/>
  <c r="J502" i="2" s="1"/>
  <c r="G503" i="2"/>
  <c r="E503" i="2"/>
  <c r="F504" i="2"/>
  <c r="E504" i="2" l="1"/>
  <c r="F505" i="2"/>
  <c r="I503" i="2"/>
  <c r="J503" i="2" s="1"/>
  <c r="G504" i="2"/>
  <c r="I504" i="2" l="1"/>
  <c r="J504" i="2" s="1"/>
  <c r="G505" i="2"/>
  <c r="E505" i="2"/>
  <c r="F506" i="2"/>
  <c r="I505" i="2" l="1"/>
  <c r="J505" i="2" s="1"/>
  <c r="G506" i="2"/>
  <c r="E506" i="2"/>
  <c r="F507" i="2"/>
  <c r="E507" i="2" l="1"/>
  <c r="F508" i="2"/>
  <c r="I506" i="2"/>
  <c r="J506" i="2" s="1"/>
  <c r="G507" i="2"/>
  <c r="I507" i="2" l="1"/>
  <c r="J507" i="2" s="1"/>
  <c r="G508" i="2"/>
  <c r="E508" i="2"/>
  <c r="F509" i="2"/>
  <c r="I508" i="2" l="1"/>
  <c r="J508" i="2" s="1"/>
  <c r="G509" i="2"/>
  <c r="E509" i="2"/>
  <c r="F510" i="2"/>
  <c r="I509" i="2" l="1"/>
  <c r="J509" i="2" s="1"/>
  <c r="G510" i="2"/>
  <c r="E510" i="2"/>
  <c r="F511" i="2"/>
  <c r="I510" i="2" l="1"/>
  <c r="J510" i="2" s="1"/>
  <c r="G511" i="2"/>
  <c r="E511" i="2"/>
  <c r="F512" i="2"/>
  <c r="E512" i="2" l="1"/>
  <c r="F513" i="2"/>
  <c r="I511" i="2"/>
  <c r="J511" i="2" s="1"/>
  <c r="G512" i="2"/>
  <c r="E513" i="2" l="1"/>
  <c r="F514" i="2"/>
  <c r="I512" i="2"/>
  <c r="J512" i="2" s="1"/>
  <c r="G513" i="2"/>
  <c r="E514" i="2" l="1"/>
  <c r="F515" i="2"/>
  <c r="I513" i="2"/>
  <c r="J513" i="2" s="1"/>
  <c r="G514" i="2"/>
  <c r="I514" i="2" l="1"/>
  <c r="J514" i="2" s="1"/>
  <c r="G515" i="2"/>
  <c r="E515" i="2"/>
  <c r="F516" i="2"/>
  <c r="I515" i="2" l="1"/>
  <c r="J515" i="2" s="1"/>
  <c r="G516" i="2"/>
  <c r="E516" i="2"/>
  <c r="F517" i="2"/>
  <c r="E517" i="2" l="1"/>
  <c r="F518" i="2"/>
  <c r="I516" i="2"/>
  <c r="J516" i="2" s="1"/>
  <c r="G517" i="2"/>
  <c r="I517" i="2" l="1"/>
  <c r="J517" i="2" s="1"/>
  <c r="G518" i="2"/>
  <c r="E518" i="2"/>
  <c r="F519" i="2"/>
  <c r="E519" i="2" l="1"/>
  <c r="F520" i="2"/>
  <c r="I518" i="2"/>
  <c r="J518" i="2" s="1"/>
  <c r="G519" i="2"/>
  <c r="I519" i="2" l="1"/>
  <c r="J519" i="2" s="1"/>
  <c r="G520" i="2"/>
  <c r="E520" i="2"/>
  <c r="F521" i="2"/>
  <c r="E521" i="2" l="1"/>
  <c r="F522" i="2"/>
  <c r="I520" i="2"/>
  <c r="J520" i="2" s="1"/>
  <c r="G521" i="2"/>
  <c r="I521" i="2" l="1"/>
  <c r="J521" i="2" s="1"/>
  <c r="G522" i="2"/>
  <c r="E522" i="2"/>
  <c r="F523" i="2"/>
  <c r="E523" i="2" l="1"/>
  <c r="F524" i="2"/>
  <c r="I522" i="2"/>
  <c r="J522" i="2" s="1"/>
  <c r="G523" i="2"/>
  <c r="I523" i="2" l="1"/>
  <c r="J523" i="2" s="1"/>
  <c r="G524" i="2"/>
  <c r="E524" i="2"/>
  <c r="F525" i="2"/>
  <c r="I524" i="2" l="1"/>
  <c r="J524" i="2" s="1"/>
  <c r="G525" i="2"/>
  <c r="E525" i="2"/>
  <c r="F526" i="2"/>
  <c r="I525" i="2" l="1"/>
  <c r="J525" i="2" s="1"/>
  <c r="G526" i="2"/>
  <c r="E526" i="2"/>
  <c r="F527" i="2"/>
  <c r="E527" i="2" l="1"/>
  <c r="F528" i="2"/>
  <c r="I526" i="2"/>
  <c r="J526" i="2" s="1"/>
  <c r="G527" i="2"/>
  <c r="I527" i="2" l="1"/>
  <c r="J527" i="2" s="1"/>
  <c r="G528" i="2"/>
  <c r="E528" i="2"/>
  <c r="F529" i="2"/>
  <c r="E529" i="2" l="1"/>
  <c r="F530" i="2"/>
  <c r="I528" i="2"/>
  <c r="J528" i="2" s="1"/>
  <c r="G529" i="2"/>
  <c r="E530" i="2" l="1"/>
  <c r="F531" i="2"/>
  <c r="I529" i="2"/>
  <c r="J529" i="2" s="1"/>
  <c r="G530" i="2"/>
  <c r="I530" i="2" l="1"/>
  <c r="J530" i="2" s="1"/>
  <c r="G531" i="2"/>
  <c r="E531" i="2"/>
  <c r="F532" i="2"/>
  <c r="E532" i="2" l="1"/>
  <c r="F533" i="2"/>
  <c r="I531" i="2"/>
  <c r="J531" i="2" s="1"/>
  <c r="G532" i="2"/>
  <c r="E533" i="2" l="1"/>
  <c r="F534" i="2"/>
  <c r="I532" i="2"/>
  <c r="J532" i="2" s="1"/>
  <c r="G533" i="2"/>
  <c r="E534" i="2" l="1"/>
  <c r="F535" i="2"/>
  <c r="I533" i="2"/>
  <c r="J533" i="2" s="1"/>
  <c r="G534" i="2"/>
  <c r="I534" i="2" l="1"/>
  <c r="J534" i="2" s="1"/>
  <c r="G535" i="2"/>
  <c r="E535" i="2"/>
  <c r="F536" i="2"/>
  <c r="I535" i="2" l="1"/>
  <c r="J535" i="2" s="1"/>
  <c r="G536" i="2"/>
  <c r="E536" i="2"/>
  <c r="F537" i="2"/>
  <c r="E537" i="2" l="1"/>
  <c r="F538" i="2"/>
  <c r="I536" i="2"/>
  <c r="J536" i="2" s="1"/>
  <c r="G537" i="2"/>
  <c r="I537" i="2" l="1"/>
  <c r="J537" i="2" s="1"/>
  <c r="G538" i="2"/>
  <c r="E538" i="2"/>
  <c r="F539" i="2"/>
  <c r="I538" i="2" l="1"/>
  <c r="J538" i="2" s="1"/>
  <c r="G539" i="2"/>
  <c r="E539" i="2"/>
  <c r="F540" i="2"/>
  <c r="E540" i="2" l="1"/>
  <c r="F541" i="2"/>
  <c r="I539" i="2"/>
  <c r="J539" i="2" s="1"/>
  <c r="G540" i="2"/>
  <c r="I540" i="2" l="1"/>
  <c r="J540" i="2" s="1"/>
  <c r="G541" i="2"/>
  <c r="E541" i="2"/>
  <c r="F542" i="2"/>
  <c r="I541" i="2" l="1"/>
  <c r="J541" i="2" s="1"/>
  <c r="G542" i="2"/>
  <c r="E542" i="2"/>
  <c r="F543" i="2"/>
  <c r="E543" i="2" l="1"/>
  <c r="F544" i="2"/>
  <c r="I542" i="2"/>
  <c r="J542" i="2" s="1"/>
  <c r="G543" i="2"/>
  <c r="I543" i="2" l="1"/>
  <c r="J543" i="2" s="1"/>
  <c r="G544" i="2"/>
  <c r="E544" i="2"/>
  <c r="F545" i="2"/>
  <c r="E545" i="2" l="1"/>
  <c r="F546" i="2"/>
  <c r="I544" i="2"/>
  <c r="J544" i="2" s="1"/>
  <c r="G545" i="2"/>
  <c r="I545" i="2" l="1"/>
  <c r="J545" i="2" s="1"/>
  <c r="G546" i="2"/>
  <c r="E546" i="2"/>
  <c r="F547" i="2"/>
  <c r="E547" i="2" l="1"/>
  <c r="F548" i="2"/>
  <c r="I546" i="2"/>
  <c r="J546" i="2" s="1"/>
  <c r="G547" i="2"/>
  <c r="I547" i="2" l="1"/>
  <c r="J547" i="2" s="1"/>
  <c r="G548" i="2"/>
  <c r="E548" i="2"/>
  <c r="F549" i="2"/>
  <c r="E549" i="2" l="1"/>
  <c r="F550" i="2"/>
  <c r="I548" i="2"/>
  <c r="J548" i="2" s="1"/>
  <c r="G549" i="2"/>
  <c r="E550" i="2" l="1"/>
  <c r="F551" i="2"/>
  <c r="I549" i="2"/>
  <c r="J549" i="2" s="1"/>
  <c r="G550" i="2"/>
  <c r="I550" i="2" l="1"/>
  <c r="J550" i="2" s="1"/>
  <c r="G551" i="2"/>
  <c r="E551" i="2"/>
  <c r="F552" i="2"/>
  <c r="E552" i="2" l="1"/>
  <c r="F553" i="2"/>
  <c r="I551" i="2"/>
  <c r="J551" i="2" s="1"/>
  <c r="G552" i="2"/>
  <c r="I552" i="2" l="1"/>
  <c r="J552" i="2" s="1"/>
  <c r="G553" i="2"/>
  <c r="E553" i="2"/>
  <c r="F554" i="2"/>
  <c r="E554" i="2" l="1"/>
  <c r="F555" i="2"/>
  <c r="I553" i="2"/>
  <c r="J553" i="2" s="1"/>
  <c r="G554" i="2"/>
  <c r="E555" i="2" l="1"/>
  <c r="F556" i="2"/>
  <c r="I554" i="2"/>
  <c r="J554" i="2" s="1"/>
  <c r="G555" i="2"/>
  <c r="I555" i="2" l="1"/>
  <c r="J555" i="2" s="1"/>
  <c r="G556" i="2"/>
  <c r="E556" i="2"/>
  <c r="F557" i="2"/>
  <c r="E557" i="2" l="1"/>
  <c r="F558" i="2"/>
  <c r="I556" i="2"/>
  <c r="J556" i="2" s="1"/>
  <c r="G557" i="2"/>
  <c r="I557" i="2" l="1"/>
  <c r="J557" i="2" s="1"/>
  <c r="G558" i="2"/>
  <c r="E558" i="2"/>
  <c r="F559" i="2"/>
  <c r="E559" i="2" l="1"/>
  <c r="F560" i="2"/>
  <c r="I558" i="2"/>
  <c r="J558" i="2" s="1"/>
  <c r="G559" i="2"/>
  <c r="I559" i="2" l="1"/>
  <c r="J559" i="2" s="1"/>
  <c r="G560" i="2"/>
  <c r="E560" i="2"/>
  <c r="F561" i="2"/>
  <c r="E561" i="2" l="1"/>
  <c r="F562" i="2"/>
  <c r="I560" i="2"/>
  <c r="J560" i="2" s="1"/>
  <c r="G561" i="2"/>
  <c r="I561" i="2" l="1"/>
  <c r="J561" i="2" s="1"/>
  <c r="G562" i="2"/>
  <c r="E562" i="2"/>
  <c r="F563" i="2"/>
  <c r="E563" i="2" l="1"/>
  <c r="F564" i="2"/>
  <c r="I562" i="2"/>
  <c r="J562" i="2" s="1"/>
  <c r="G563" i="2"/>
  <c r="I563" i="2" l="1"/>
  <c r="J563" i="2" s="1"/>
  <c r="G564" i="2"/>
  <c r="E564" i="2"/>
  <c r="F565" i="2"/>
  <c r="E565" i="2" l="1"/>
  <c r="F566" i="2"/>
  <c r="I564" i="2"/>
  <c r="J564" i="2" s="1"/>
  <c r="G565" i="2"/>
  <c r="E566" i="2" l="1"/>
  <c r="F567" i="2"/>
  <c r="I565" i="2"/>
  <c r="J565" i="2" s="1"/>
  <c r="G566" i="2"/>
  <c r="I566" i="2" l="1"/>
  <c r="J566" i="2" s="1"/>
  <c r="G567" i="2"/>
  <c r="E567" i="2"/>
  <c r="F568" i="2"/>
  <c r="E568" i="2" l="1"/>
  <c r="F569" i="2"/>
  <c r="I567" i="2"/>
  <c r="J567" i="2" s="1"/>
  <c r="G568" i="2"/>
  <c r="I568" i="2" l="1"/>
  <c r="J568" i="2" s="1"/>
  <c r="G569" i="2"/>
  <c r="E569" i="2"/>
  <c r="F570" i="2"/>
  <c r="E570" i="2" l="1"/>
  <c r="F571" i="2"/>
  <c r="I569" i="2"/>
  <c r="J569" i="2" s="1"/>
  <c r="G570" i="2"/>
  <c r="I570" i="2" l="1"/>
  <c r="J570" i="2" s="1"/>
  <c r="G571" i="2"/>
  <c r="E571" i="2"/>
  <c r="F572" i="2"/>
  <c r="E572" i="2" l="1"/>
  <c r="F573" i="2"/>
  <c r="I571" i="2"/>
  <c r="J571" i="2" s="1"/>
  <c r="G572" i="2"/>
  <c r="I572" i="2" l="1"/>
  <c r="J572" i="2" s="1"/>
  <c r="G573" i="2"/>
  <c r="E573" i="2"/>
  <c r="F574" i="2"/>
  <c r="E574" i="2" l="1"/>
  <c r="F575" i="2"/>
  <c r="I573" i="2"/>
  <c r="J573" i="2" s="1"/>
  <c r="G574" i="2"/>
  <c r="I574" i="2" l="1"/>
  <c r="J574" i="2" s="1"/>
  <c r="G575" i="2"/>
  <c r="E575" i="2"/>
  <c r="F576" i="2"/>
  <c r="E576" i="2" l="1"/>
  <c r="F577" i="2"/>
  <c r="I575" i="2"/>
  <c r="J575" i="2" s="1"/>
  <c r="G576" i="2"/>
  <c r="I576" i="2" l="1"/>
  <c r="J576" i="2" s="1"/>
  <c r="G577" i="2"/>
  <c r="E577" i="2"/>
  <c r="F578" i="2"/>
  <c r="E578" i="2" l="1"/>
  <c r="F579" i="2"/>
  <c r="I577" i="2"/>
  <c r="J577" i="2" s="1"/>
  <c r="G578" i="2"/>
  <c r="I578" i="2" l="1"/>
  <c r="J578" i="2" s="1"/>
  <c r="G579" i="2"/>
  <c r="E579" i="2"/>
  <c r="F580" i="2"/>
  <c r="I579" i="2" l="1"/>
  <c r="J579" i="2" s="1"/>
  <c r="G580" i="2"/>
  <c r="E580" i="2"/>
  <c r="F581" i="2"/>
  <c r="E581" i="2" l="1"/>
  <c r="F582" i="2"/>
  <c r="I580" i="2"/>
  <c r="J580" i="2" s="1"/>
  <c r="G581" i="2"/>
  <c r="E582" i="2" l="1"/>
  <c r="F583" i="2"/>
  <c r="I581" i="2"/>
  <c r="J581" i="2" s="1"/>
  <c r="G582" i="2"/>
  <c r="I582" i="2" l="1"/>
  <c r="J582" i="2" s="1"/>
  <c r="G583" i="2"/>
  <c r="E583" i="2"/>
  <c r="F584" i="2"/>
  <c r="I583" i="2" l="1"/>
  <c r="J583" i="2" s="1"/>
  <c r="G584" i="2"/>
  <c r="E584" i="2"/>
  <c r="F585" i="2"/>
  <c r="E585" i="2" l="1"/>
  <c r="F586" i="2"/>
  <c r="I584" i="2"/>
  <c r="J584" i="2" s="1"/>
  <c r="G585" i="2"/>
  <c r="I585" i="2" l="1"/>
  <c r="J585" i="2" s="1"/>
  <c r="G586" i="2"/>
  <c r="E586" i="2"/>
  <c r="F587" i="2"/>
  <c r="E587" i="2" l="1"/>
  <c r="F588" i="2"/>
  <c r="I586" i="2"/>
  <c r="J586" i="2" s="1"/>
  <c r="G587" i="2"/>
  <c r="I587" i="2" l="1"/>
  <c r="J587" i="2" s="1"/>
  <c r="G588" i="2"/>
  <c r="E588" i="2"/>
  <c r="F589" i="2"/>
  <c r="E589" i="2" l="1"/>
  <c r="F590" i="2"/>
  <c r="I588" i="2"/>
  <c r="J588" i="2" s="1"/>
  <c r="G589" i="2"/>
  <c r="I589" i="2" l="1"/>
  <c r="J589" i="2" s="1"/>
  <c r="G590" i="2"/>
  <c r="E590" i="2"/>
  <c r="F591" i="2"/>
  <c r="I590" i="2" l="1"/>
  <c r="J590" i="2" s="1"/>
  <c r="G591" i="2"/>
  <c r="E591" i="2"/>
  <c r="F592" i="2"/>
  <c r="E592" i="2" l="1"/>
  <c r="F593" i="2"/>
  <c r="I591" i="2"/>
  <c r="J591" i="2" s="1"/>
  <c r="G592" i="2"/>
  <c r="I592" i="2" l="1"/>
  <c r="J592" i="2" s="1"/>
  <c r="G593" i="2"/>
  <c r="E593" i="2"/>
  <c r="F594" i="2"/>
  <c r="E594" i="2" l="1"/>
  <c r="F595" i="2"/>
  <c r="I593" i="2"/>
  <c r="J593" i="2" s="1"/>
  <c r="G594" i="2"/>
  <c r="I594" i="2" l="1"/>
  <c r="J594" i="2" s="1"/>
  <c r="G595" i="2"/>
  <c r="E595" i="2"/>
  <c r="F596" i="2"/>
  <c r="E596" i="2" l="1"/>
  <c r="F597" i="2"/>
  <c r="I595" i="2"/>
  <c r="J595" i="2" s="1"/>
  <c r="G596" i="2"/>
  <c r="E597" i="2" l="1"/>
  <c r="F598" i="2"/>
  <c r="I596" i="2"/>
  <c r="J596" i="2" s="1"/>
  <c r="G597" i="2"/>
  <c r="I597" i="2" l="1"/>
  <c r="J597" i="2" s="1"/>
  <c r="G598" i="2"/>
  <c r="E598" i="2"/>
  <c r="F599" i="2"/>
  <c r="E599" i="2" l="1"/>
  <c r="F600" i="2"/>
  <c r="I598" i="2"/>
  <c r="J598" i="2" s="1"/>
  <c r="G599" i="2"/>
  <c r="I599" i="2" l="1"/>
  <c r="J599" i="2" s="1"/>
  <c r="G600" i="2"/>
  <c r="E600" i="2"/>
  <c r="F601" i="2"/>
  <c r="I600" i="2" l="1"/>
  <c r="J600" i="2" s="1"/>
  <c r="G601" i="2"/>
  <c r="E601" i="2"/>
  <c r="F602" i="2"/>
  <c r="E602" i="2" l="1"/>
  <c r="F603" i="2"/>
  <c r="I601" i="2"/>
  <c r="J601" i="2" s="1"/>
  <c r="G602" i="2"/>
  <c r="I602" i="2" l="1"/>
  <c r="J602" i="2" s="1"/>
  <c r="G603" i="2"/>
  <c r="E603" i="2"/>
  <c r="F604" i="2"/>
  <c r="E604" i="2" l="1"/>
  <c r="F605" i="2"/>
  <c r="I603" i="2"/>
  <c r="J603" i="2" s="1"/>
  <c r="G604" i="2"/>
  <c r="E605" i="2" l="1"/>
  <c r="F606" i="2"/>
  <c r="I604" i="2"/>
  <c r="J604" i="2" s="1"/>
  <c r="G605" i="2"/>
  <c r="E606" i="2" l="1"/>
  <c r="F607" i="2"/>
  <c r="I605" i="2"/>
  <c r="J605" i="2" s="1"/>
  <c r="G606" i="2"/>
  <c r="I606" i="2" l="1"/>
  <c r="J606" i="2" s="1"/>
  <c r="G607" i="2"/>
  <c r="E607" i="2"/>
  <c r="F608" i="2"/>
  <c r="E608" i="2" l="1"/>
  <c r="F609" i="2"/>
  <c r="I607" i="2"/>
  <c r="J607" i="2" s="1"/>
  <c r="G608" i="2"/>
  <c r="I608" i="2" l="1"/>
  <c r="J608" i="2" s="1"/>
  <c r="G609" i="2"/>
  <c r="E609" i="2"/>
  <c r="F610" i="2"/>
  <c r="E610" i="2" l="1"/>
  <c r="F611" i="2"/>
  <c r="I609" i="2"/>
  <c r="J609" i="2" s="1"/>
  <c r="G610" i="2"/>
  <c r="I610" i="2" l="1"/>
  <c r="J610" i="2" s="1"/>
  <c r="G611" i="2"/>
  <c r="E611" i="2"/>
  <c r="F612" i="2"/>
  <c r="E612" i="2" l="1"/>
  <c r="F613" i="2"/>
  <c r="I611" i="2"/>
  <c r="J611" i="2" s="1"/>
  <c r="G612" i="2"/>
  <c r="I612" i="2" l="1"/>
  <c r="J612" i="2" s="1"/>
  <c r="G613" i="2"/>
  <c r="E613" i="2"/>
  <c r="F614" i="2"/>
  <c r="E614" i="2" l="1"/>
  <c r="F615" i="2"/>
  <c r="I613" i="2"/>
  <c r="J613" i="2" s="1"/>
  <c r="G614" i="2"/>
  <c r="I614" i="2" l="1"/>
  <c r="J614" i="2" s="1"/>
  <c r="G615" i="2"/>
  <c r="E615" i="2"/>
  <c r="F616" i="2"/>
  <c r="E616" i="2" l="1"/>
  <c r="F617" i="2"/>
  <c r="I615" i="2"/>
  <c r="J615" i="2" s="1"/>
  <c r="G616" i="2"/>
  <c r="E617" i="2" l="1"/>
  <c r="F618" i="2"/>
  <c r="I616" i="2"/>
  <c r="J616" i="2" s="1"/>
  <c r="G617" i="2"/>
  <c r="I617" i="2" l="1"/>
  <c r="J617" i="2" s="1"/>
  <c r="G618" i="2"/>
  <c r="E618" i="2"/>
  <c r="F619" i="2"/>
  <c r="I618" i="2" l="1"/>
  <c r="J618" i="2" s="1"/>
  <c r="G619" i="2"/>
  <c r="E619" i="2"/>
  <c r="F620" i="2"/>
  <c r="I619" i="2" l="1"/>
  <c r="J619" i="2" s="1"/>
  <c r="G620" i="2"/>
  <c r="E620" i="2"/>
  <c r="F621" i="2"/>
  <c r="E621" i="2" l="1"/>
  <c r="F622" i="2"/>
  <c r="I620" i="2"/>
  <c r="J620" i="2" s="1"/>
  <c r="G621" i="2"/>
  <c r="I621" i="2" l="1"/>
  <c r="J621" i="2" s="1"/>
  <c r="G622" i="2"/>
  <c r="E622" i="2"/>
  <c r="F623" i="2"/>
  <c r="E623" i="2" l="1"/>
  <c r="F624" i="2"/>
  <c r="I622" i="2"/>
  <c r="J622" i="2" s="1"/>
  <c r="G623" i="2"/>
  <c r="I623" i="2" l="1"/>
  <c r="J623" i="2" s="1"/>
  <c r="G624" i="2"/>
  <c r="E624" i="2"/>
  <c r="F625" i="2"/>
  <c r="E625" i="2" l="1"/>
  <c r="F626" i="2"/>
  <c r="I624" i="2"/>
  <c r="J624" i="2" s="1"/>
  <c r="G625" i="2"/>
  <c r="I625" i="2" l="1"/>
  <c r="J625" i="2" s="1"/>
  <c r="G626" i="2"/>
  <c r="E626" i="2"/>
  <c r="F627" i="2"/>
  <c r="E627" i="2" l="1"/>
  <c r="F628" i="2"/>
  <c r="I626" i="2"/>
  <c r="J626" i="2" s="1"/>
  <c r="G627" i="2"/>
  <c r="I627" i="2" l="1"/>
  <c r="J627" i="2" s="1"/>
  <c r="G628" i="2"/>
  <c r="E628" i="2"/>
  <c r="F629" i="2"/>
  <c r="E629" i="2" l="1"/>
  <c r="F630" i="2"/>
  <c r="I628" i="2"/>
  <c r="J628" i="2" s="1"/>
  <c r="G629" i="2"/>
  <c r="I629" i="2" l="1"/>
  <c r="J629" i="2" s="1"/>
  <c r="G630" i="2"/>
  <c r="E630" i="2"/>
  <c r="F631" i="2"/>
  <c r="E631" i="2" l="1"/>
  <c r="F632" i="2"/>
  <c r="I630" i="2"/>
  <c r="J630" i="2" s="1"/>
  <c r="G631" i="2"/>
  <c r="I631" i="2" l="1"/>
  <c r="J631" i="2" s="1"/>
  <c r="G632" i="2"/>
  <c r="E632" i="2"/>
  <c r="F633" i="2"/>
  <c r="E633" i="2" l="1"/>
  <c r="F634" i="2"/>
  <c r="I632" i="2"/>
  <c r="J632" i="2" s="1"/>
  <c r="G633" i="2"/>
  <c r="I633" i="2" l="1"/>
  <c r="J633" i="2" s="1"/>
  <c r="G634" i="2"/>
  <c r="E634" i="2"/>
  <c r="F635" i="2"/>
  <c r="E635" i="2" l="1"/>
  <c r="F636" i="2"/>
  <c r="I634" i="2"/>
  <c r="J634" i="2" s="1"/>
  <c r="G635" i="2"/>
  <c r="I635" i="2" l="1"/>
  <c r="J635" i="2" s="1"/>
  <c r="G636" i="2"/>
  <c r="E636" i="2"/>
  <c r="F637" i="2"/>
  <c r="E637" i="2" l="1"/>
  <c r="F638" i="2"/>
  <c r="I636" i="2"/>
  <c r="J636" i="2" s="1"/>
  <c r="G637" i="2"/>
  <c r="I637" i="2" l="1"/>
  <c r="J637" i="2" s="1"/>
  <c r="G638" i="2"/>
  <c r="E638" i="2"/>
  <c r="F639" i="2"/>
  <c r="E639" i="2" l="1"/>
  <c r="F640" i="2"/>
  <c r="I638" i="2"/>
  <c r="J638" i="2" s="1"/>
  <c r="G639" i="2"/>
  <c r="I639" i="2" l="1"/>
  <c r="J639" i="2" s="1"/>
  <c r="G640" i="2"/>
  <c r="E640" i="2"/>
  <c r="F641" i="2"/>
  <c r="E641" i="2" l="1"/>
  <c r="F642" i="2"/>
  <c r="I640" i="2"/>
  <c r="J640" i="2" s="1"/>
  <c r="G641" i="2"/>
  <c r="I641" i="2" l="1"/>
  <c r="J641" i="2" s="1"/>
  <c r="G642" i="2"/>
  <c r="E642" i="2"/>
  <c r="F643" i="2"/>
  <c r="E643" i="2" l="1"/>
  <c r="F644" i="2"/>
  <c r="I642" i="2"/>
  <c r="J642" i="2" s="1"/>
  <c r="G643" i="2"/>
  <c r="I643" i="2" l="1"/>
  <c r="J643" i="2" s="1"/>
  <c r="G644" i="2"/>
  <c r="E644" i="2"/>
  <c r="F645" i="2"/>
  <c r="E645" i="2" l="1"/>
  <c r="F646" i="2"/>
  <c r="I644" i="2"/>
  <c r="J644" i="2" s="1"/>
  <c r="G645" i="2"/>
  <c r="I645" i="2" l="1"/>
  <c r="J645" i="2" s="1"/>
  <c r="G646" i="2"/>
  <c r="E646" i="2"/>
  <c r="F647" i="2"/>
  <c r="E647" i="2" l="1"/>
  <c r="F648" i="2"/>
  <c r="I646" i="2"/>
  <c r="J646" i="2" s="1"/>
  <c r="G647" i="2"/>
  <c r="I647" i="2" l="1"/>
  <c r="J647" i="2" s="1"/>
  <c r="G648" i="2"/>
  <c r="E648" i="2"/>
  <c r="F649" i="2"/>
  <c r="I648" i="2" l="1"/>
  <c r="J648" i="2" s="1"/>
  <c r="G649" i="2"/>
  <c r="E649" i="2"/>
  <c r="F650" i="2"/>
  <c r="E650" i="2" l="1"/>
  <c r="F651" i="2"/>
  <c r="I649" i="2"/>
  <c r="J649" i="2" s="1"/>
  <c r="G650" i="2"/>
  <c r="E651" i="2" l="1"/>
  <c r="F652" i="2"/>
  <c r="I650" i="2"/>
  <c r="J650" i="2" s="1"/>
  <c r="G651" i="2"/>
  <c r="I651" i="2" l="1"/>
  <c r="J651" i="2" s="1"/>
  <c r="G652" i="2"/>
  <c r="E652" i="2"/>
  <c r="F653" i="2"/>
  <c r="E653" i="2" l="1"/>
  <c r="F654" i="2"/>
  <c r="I652" i="2"/>
  <c r="J652" i="2" s="1"/>
  <c r="G653" i="2"/>
  <c r="I653" i="2" l="1"/>
  <c r="J653" i="2" s="1"/>
  <c r="G654" i="2"/>
  <c r="E654" i="2"/>
  <c r="F655" i="2"/>
  <c r="E655" i="2" l="1"/>
  <c r="F656" i="2"/>
  <c r="I654" i="2"/>
  <c r="J654" i="2" s="1"/>
  <c r="G655" i="2"/>
  <c r="I655" i="2" l="1"/>
  <c r="J655" i="2" s="1"/>
  <c r="G656" i="2"/>
  <c r="E656" i="2"/>
  <c r="F657" i="2"/>
  <c r="I656" i="2" l="1"/>
  <c r="J656" i="2" s="1"/>
  <c r="G657" i="2"/>
  <c r="E657" i="2"/>
  <c r="F658" i="2"/>
  <c r="I657" i="2" l="1"/>
  <c r="J657" i="2" s="1"/>
  <c r="G658" i="2"/>
  <c r="E658" i="2"/>
  <c r="F659" i="2"/>
  <c r="E659" i="2" l="1"/>
  <c r="F660" i="2"/>
  <c r="I658" i="2"/>
  <c r="J658" i="2" s="1"/>
  <c r="G659" i="2"/>
  <c r="E660" i="2" l="1"/>
  <c r="F661" i="2"/>
  <c r="I659" i="2"/>
  <c r="J659" i="2" s="1"/>
  <c r="G660" i="2"/>
  <c r="I660" i="2" l="1"/>
  <c r="J660" i="2" s="1"/>
  <c r="G661" i="2"/>
  <c r="E661" i="2"/>
  <c r="F662" i="2"/>
  <c r="E662" i="2" l="1"/>
  <c r="F663" i="2"/>
  <c r="I661" i="2"/>
  <c r="J661" i="2" s="1"/>
  <c r="G662" i="2"/>
  <c r="E663" i="2" l="1"/>
  <c r="F664" i="2"/>
  <c r="I662" i="2"/>
  <c r="J662" i="2" s="1"/>
  <c r="G663" i="2"/>
  <c r="I663" i="2" l="1"/>
  <c r="J663" i="2" s="1"/>
  <c r="G664" i="2"/>
  <c r="E664" i="2"/>
  <c r="F665" i="2"/>
  <c r="I664" i="2" l="1"/>
  <c r="J664" i="2" s="1"/>
  <c r="G665" i="2"/>
  <c r="E665" i="2"/>
  <c r="F666" i="2"/>
  <c r="E666" i="2" l="1"/>
  <c r="F667" i="2"/>
  <c r="I665" i="2"/>
  <c r="J665" i="2" s="1"/>
  <c r="G666" i="2"/>
  <c r="I666" i="2" l="1"/>
  <c r="J666" i="2" s="1"/>
  <c r="G667" i="2"/>
  <c r="E667" i="2"/>
  <c r="F668" i="2"/>
  <c r="I667" i="2" l="1"/>
  <c r="J667" i="2" s="1"/>
  <c r="G668" i="2"/>
  <c r="E668" i="2"/>
  <c r="F669" i="2"/>
  <c r="E669" i="2" l="1"/>
  <c r="F670" i="2"/>
  <c r="I668" i="2"/>
  <c r="J668" i="2" s="1"/>
  <c r="G669" i="2"/>
  <c r="I669" i="2" l="1"/>
  <c r="J669" i="2" s="1"/>
  <c r="G670" i="2"/>
  <c r="E670" i="2"/>
  <c r="F671" i="2"/>
  <c r="E671" i="2" l="1"/>
  <c r="F672" i="2"/>
  <c r="I670" i="2"/>
  <c r="J670" i="2" s="1"/>
  <c r="G671" i="2"/>
  <c r="I671" i="2" l="1"/>
  <c r="J671" i="2" s="1"/>
  <c r="G672" i="2"/>
  <c r="E672" i="2"/>
  <c r="F673" i="2"/>
  <c r="E673" i="2" l="1"/>
  <c r="F674" i="2"/>
  <c r="I672" i="2"/>
  <c r="J672" i="2" s="1"/>
  <c r="G673" i="2"/>
  <c r="E674" i="2" l="1"/>
  <c r="F675" i="2"/>
  <c r="I673" i="2"/>
  <c r="J673" i="2" s="1"/>
  <c r="G674" i="2"/>
  <c r="E675" i="2" l="1"/>
  <c r="F676" i="2"/>
  <c r="I674" i="2"/>
  <c r="J674" i="2" s="1"/>
  <c r="G675" i="2"/>
  <c r="I675" i="2" l="1"/>
  <c r="J675" i="2" s="1"/>
  <c r="G676" i="2"/>
  <c r="E676" i="2"/>
  <c r="F677" i="2"/>
  <c r="I676" i="2" l="1"/>
  <c r="J676" i="2" s="1"/>
  <c r="G677" i="2"/>
  <c r="E677" i="2"/>
  <c r="F678" i="2"/>
  <c r="I677" i="2" l="1"/>
  <c r="J677" i="2" s="1"/>
  <c r="G678" i="2"/>
  <c r="E678" i="2"/>
  <c r="F679" i="2"/>
  <c r="E679" i="2" l="1"/>
  <c r="F680" i="2"/>
  <c r="I678" i="2"/>
  <c r="J678" i="2" s="1"/>
  <c r="G679" i="2"/>
  <c r="E680" i="2" l="1"/>
  <c r="F681" i="2"/>
  <c r="I679" i="2"/>
  <c r="J679" i="2" s="1"/>
  <c r="G680" i="2"/>
  <c r="I680" i="2" l="1"/>
  <c r="J680" i="2" s="1"/>
  <c r="G681" i="2"/>
  <c r="E681" i="2"/>
  <c r="F682" i="2"/>
  <c r="E682" i="2" l="1"/>
  <c r="F683" i="2"/>
  <c r="I681" i="2"/>
  <c r="J681" i="2" s="1"/>
  <c r="G682" i="2"/>
  <c r="I682" i="2" l="1"/>
  <c r="J682" i="2" s="1"/>
  <c r="G683" i="2"/>
  <c r="E683" i="2"/>
  <c r="F684" i="2"/>
  <c r="E684" i="2" l="1"/>
  <c r="F685" i="2"/>
  <c r="I683" i="2"/>
  <c r="J683" i="2" s="1"/>
  <c r="G684" i="2"/>
  <c r="I684" i="2" l="1"/>
  <c r="J684" i="2" s="1"/>
  <c r="G685" i="2"/>
  <c r="E685" i="2"/>
  <c r="F686" i="2"/>
  <c r="E686" i="2" l="1"/>
  <c r="F687" i="2"/>
  <c r="I685" i="2"/>
  <c r="J685" i="2" s="1"/>
  <c r="G686" i="2"/>
  <c r="I686" i="2" l="1"/>
  <c r="J686" i="2" s="1"/>
  <c r="G687" i="2"/>
  <c r="E687" i="2"/>
  <c r="F688" i="2"/>
  <c r="E688" i="2" l="1"/>
  <c r="F689" i="2"/>
  <c r="I687" i="2"/>
  <c r="J687" i="2" s="1"/>
  <c r="G688" i="2"/>
  <c r="I688" i="2" l="1"/>
  <c r="J688" i="2" s="1"/>
  <c r="G689" i="2"/>
  <c r="E689" i="2"/>
  <c r="F690" i="2"/>
  <c r="I689" i="2" l="1"/>
  <c r="J689" i="2" s="1"/>
  <c r="G690" i="2"/>
  <c r="E690" i="2"/>
  <c r="F691" i="2"/>
  <c r="E691" i="2" l="1"/>
  <c r="F692" i="2"/>
  <c r="I690" i="2"/>
  <c r="J690" i="2" s="1"/>
  <c r="G691" i="2"/>
  <c r="I691" i="2" l="1"/>
  <c r="J691" i="2" s="1"/>
  <c r="G692" i="2"/>
  <c r="E692" i="2"/>
  <c r="F693" i="2"/>
  <c r="I692" i="2" l="1"/>
  <c r="J692" i="2" s="1"/>
  <c r="G693" i="2"/>
  <c r="E693" i="2"/>
  <c r="F694" i="2"/>
  <c r="I693" i="2" l="1"/>
  <c r="J693" i="2" s="1"/>
  <c r="G694" i="2"/>
  <c r="E694" i="2"/>
  <c r="F695" i="2"/>
  <c r="E695" i="2" l="1"/>
  <c r="F696" i="2"/>
  <c r="I694" i="2"/>
  <c r="J694" i="2" s="1"/>
  <c r="G695" i="2"/>
  <c r="E696" i="2" l="1"/>
  <c r="F697" i="2"/>
  <c r="I695" i="2"/>
  <c r="J695" i="2" s="1"/>
  <c r="G696" i="2"/>
  <c r="E697" i="2" l="1"/>
  <c r="F698" i="2"/>
  <c r="I696" i="2"/>
  <c r="J696" i="2" s="1"/>
  <c r="G697" i="2"/>
  <c r="I697" i="2" l="1"/>
  <c r="J697" i="2" s="1"/>
  <c r="G698" i="2"/>
  <c r="E698" i="2"/>
  <c r="F699" i="2"/>
  <c r="I698" i="2" l="1"/>
  <c r="J698" i="2" s="1"/>
  <c r="G699" i="2"/>
  <c r="E699" i="2"/>
  <c r="F700" i="2"/>
  <c r="E700" i="2" l="1"/>
  <c r="F701" i="2"/>
  <c r="I699" i="2"/>
  <c r="J699" i="2" s="1"/>
  <c r="G700" i="2"/>
  <c r="I700" i="2" l="1"/>
  <c r="J700" i="2" s="1"/>
  <c r="G701" i="2"/>
  <c r="E701" i="2"/>
  <c r="F702" i="2"/>
  <c r="E702" i="2" l="1"/>
  <c r="F703" i="2"/>
  <c r="I701" i="2"/>
  <c r="J701" i="2" s="1"/>
  <c r="G702" i="2"/>
  <c r="I702" i="2" l="1"/>
  <c r="J702" i="2" s="1"/>
  <c r="G703" i="2"/>
  <c r="E703" i="2"/>
  <c r="F704" i="2"/>
  <c r="E704" i="2" l="1"/>
  <c r="F705" i="2"/>
  <c r="I703" i="2"/>
  <c r="J703" i="2" s="1"/>
  <c r="G704" i="2"/>
  <c r="I704" i="2" l="1"/>
  <c r="J704" i="2" s="1"/>
  <c r="G705" i="2"/>
  <c r="E705" i="2"/>
  <c r="F706" i="2"/>
  <c r="E706" i="2" l="1"/>
  <c r="F707" i="2"/>
  <c r="I705" i="2"/>
  <c r="J705" i="2" s="1"/>
  <c r="G706" i="2"/>
  <c r="I706" i="2" l="1"/>
  <c r="J706" i="2" s="1"/>
  <c r="G707" i="2"/>
  <c r="E707" i="2"/>
  <c r="F708" i="2"/>
  <c r="E708" i="2" l="1"/>
  <c r="F709" i="2"/>
  <c r="I707" i="2"/>
  <c r="J707" i="2" s="1"/>
  <c r="G708" i="2"/>
  <c r="I708" i="2" l="1"/>
  <c r="J708" i="2" s="1"/>
  <c r="G709" i="2"/>
  <c r="E709" i="2"/>
  <c r="F710" i="2"/>
  <c r="E710" i="2" l="1"/>
  <c r="F711" i="2"/>
  <c r="I709" i="2"/>
  <c r="J709" i="2" s="1"/>
  <c r="G710" i="2"/>
  <c r="I710" i="2" l="1"/>
  <c r="J710" i="2" s="1"/>
  <c r="G711" i="2"/>
  <c r="E711" i="2"/>
  <c r="F712" i="2"/>
  <c r="I711" i="2" l="1"/>
  <c r="J711" i="2" s="1"/>
  <c r="G712" i="2"/>
  <c r="E712" i="2"/>
  <c r="F713" i="2"/>
  <c r="I712" i="2" l="1"/>
  <c r="J712" i="2" s="1"/>
  <c r="G713" i="2"/>
  <c r="E713" i="2"/>
  <c r="F714" i="2"/>
  <c r="E714" i="2" l="1"/>
  <c r="F715" i="2"/>
  <c r="I713" i="2"/>
  <c r="J713" i="2" s="1"/>
  <c r="G714" i="2"/>
  <c r="E715" i="2" l="1"/>
  <c r="F716" i="2"/>
  <c r="I714" i="2"/>
  <c r="J714" i="2" s="1"/>
  <c r="G715" i="2"/>
  <c r="E716" i="2" l="1"/>
  <c r="F717" i="2"/>
  <c r="I715" i="2"/>
  <c r="J715" i="2" s="1"/>
  <c r="G716" i="2"/>
  <c r="I716" i="2" l="1"/>
  <c r="J716" i="2" s="1"/>
  <c r="G717" i="2"/>
  <c r="E717" i="2"/>
  <c r="F718" i="2"/>
  <c r="I717" i="2" l="1"/>
  <c r="J717" i="2" s="1"/>
  <c r="G718" i="2"/>
  <c r="E718" i="2"/>
  <c r="F719" i="2"/>
  <c r="E719" i="2" l="1"/>
  <c r="F720" i="2"/>
  <c r="I718" i="2"/>
  <c r="J718" i="2" s="1"/>
  <c r="G719" i="2"/>
  <c r="I719" i="2" l="1"/>
  <c r="J719" i="2" s="1"/>
  <c r="G720" i="2"/>
  <c r="E720" i="2"/>
  <c r="F721" i="2"/>
  <c r="E721" i="2" l="1"/>
  <c r="F722" i="2"/>
  <c r="I720" i="2"/>
  <c r="J720" i="2" s="1"/>
  <c r="G721" i="2"/>
  <c r="I721" i="2" l="1"/>
  <c r="J721" i="2" s="1"/>
  <c r="G722" i="2"/>
  <c r="E722" i="2"/>
  <c r="F723" i="2"/>
  <c r="E723" i="2" l="1"/>
  <c r="F724" i="2"/>
  <c r="I722" i="2"/>
  <c r="J722" i="2" s="1"/>
  <c r="G723" i="2"/>
  <c r="I723" i="2" l="1"/>
  <c r="J723" i="2" s="1"/>
  <c r="G724" i="2"/>
  <c r="E724" i="2"/>
  <c r="F725" i="2"/>
  <c r="E725" i="2" l="1"/>
  <c r="F726" i="2"/>
  <c r="I724" i="2"/>
  <c r="J724" i="2" s="1"/>
  <c r="G725" i="2"/>
  <c r="I725" i="2" l="1"/>
  <c r="J725" i="2" s="1"/>
  <c r="G726" i="2"/>
  <c r="E726" i="2"/>
  <c r="F727" i="2"/>
  <c r="E727" i="2" l="1"/>
  <c r="F728" i="2"/>
  <c r="I726" i="2"/>
  <c r="J726" i="2" s="1"/>
  <c r="G727" i="2"/>
  <c r="I727" i="2" l="1"/>
  <c r="J727" i="2" s="1"/>
  <c r="G728" i="2"/>
  <c r="E728" i="2"/>
  <c r="F729" i="2"/>
  <c r="I728" i="2" l="1"/>
  <c r="J728" i="2" s="1"/>
  <c r="G729" i="2"/>
  <c r="E729" i="2"/>
  <c r="F730" i="2"/>
  <c r="E730" i="2" l="1"/>
  <c r="F731" i="2"/>
  <c r="I729" i="2"/>
  <c r="J729" i="2" s="1"/>
  <c r="G730" i="2"/>
  <c r="I730" i="2" l="1"/>
  <c r="J730" i="2" s="1"/>
  <c r="G731" i="2"/>
  <c r="E731" i="2"/>
  <c r="F732" i="2"/>
  <c r="E732" i="2" l="1"/>
  <c r="F733" i="2"/>
  <c r="I731" i="2"/>
  <c r="J731" i="2" s="1"/>
  <c r="G732" i="2"/>
  <c r="I732" i="2" l="1"/>
  <c r="J732" i="2" s="1"/>
  <c r="G733" i="2"/>
  <c r="E733" i="2"/>
  <c r="F734" i="2"/>
  <c r="E734" i="2" l="1"/>
  <c r="F735" i="2"/>
  <c r="I733" i="2"/>
  <c r="J733" i="2" s="1"/>
  <c r="G734" i="2"/>
  <c r="I734" i="2" l="1"/>
  <c r="J734" i="2" s="1"/>
  <c r="G735" i="2"/>
  <c r="E735" i="2"/>
  <c r="F736" i="2"/>
  <c r="I735" i="2" l="1"/>
  <c r="J735" i="2" s="1"/>
  <c r="G736" i="2"/>
  <c r="E736" i="2"/>
  <c r="F737" i="2"/>
  <c r="E737" i="2" l="1"/>
  <c r="F738" i="2"/>
  <c r="I736" i="2"/>
  <c r="J736" i="2" s="1"/>
  <c r="G737" i="2"/>
  <c r="I737" i="2" l="1"/>
  <c r="J737" i="2" s="1"/>
  <c r="G738" i="2"/>
  <c r="E738" i="2"/>
  <c r="F739" i="2"/>
  <c r="I738" i="2" l="1"/>
  <c r="J738" i="2" s="1"/>
  <c r="G739" i="2"/>
  <c r="E739" i="2"/>
  <c r="F740" i="2"/>
  <c r="E740" i="2" l="1"/>
  <c r="F741" i="2"/>
  <c r="I739" i="2"/>
  <c r="J739" i="2" s="1"/>
  <c r="G740" i="2"/>
  <c r="I740" i="2" l="1"/>
  <c r="J740" i="2" s="1"/>
  <c r="G741" i="2"/>
  <c r="E741" i="2"/>
  <c r="F742" i="2"/>
  <c r="I741" i="2" l="1"/>
  <c r="J741" i="2" s="1"/>
  <c r="G742" i="2"/>
  <c r="E742" i="2"/>
  <c r="F743" i="2"/>
  <c r="E743" i="2" l="1"/>
  <c r="F744" i="2"/>
  <c r="I742" i="2"/>
  <c r="J742" i="2" s="1"/>
  <c r="G743" i="2"/>
  <c r="E744" i="2" l="1"/>
  <c r="F745" i="2"/>
  <c r="I743" i="2"/>
  <c r="J743" i="2" s="1"/>
  <c r="G744" i="2"/>
  <c r="I744" i="2" l="1"/>
  <c r="J744" i="2" s="1"/>
  <c r="G745" i="2"/>
  <c r="E745" i="2"/>
  <c r="F746" i="2"/>
  <c r="E746" i="2" l="1"/>
  <c r="F747" i="2"/>
  <c r="I745" i="2"/>
  <c r="J745" i="2" s="1"/>
  <c r="G746" i="2"/>
  <c r="I746" i="2" l="1"/>
  <c r="J746" i="2" s="1"/>
  <c r="G747" i="2"/>
  <c r="E747" i="2"/>
  <c r="F748" i="2"/>
  <c r="E748" i="2" l="1"/>
  <c r="F749" i="2"/>
  <c r="I747" i="2"/>
  <c r="J747" i="2" s="1"/>
  <c r="G748" i="2"/>
  <c r="I748" i="2" l="1"/>
  <c r="J748" i="2" s="1"/>
  <c r="G749" i="2"/>
  <c r="E749" i="2"/>
  <c r="F750" i="2"/>
  <c r="E750" i="2" l="1"/>
  <c r="F751" i="2"/>
  <c r="I749" i="2"/>
  <c r="J749" i="2" s="1"/>
  <c r="G750" i="2"/>
  <c r="E751" i="2" l="1"/>
  <c r="F752" i="2"/>
  <c r="I750" i="2"/>
  <c r="J750" i="2" s="1"/>
  <c r="G751" i="2"/>
  <c r="I751" i="2" l="1"/>
  <c r="J751" i="2" s="1"/>
  <c r="G752" i="2"/>
  <c r="E752" i="2"/>
  <c r="F753" i="2"/>
  <c r="E753" i="2" l="1"/>
  <c r="F754" i="2"/>
  <c r="I752" i="2"/>
  <c r="J752" i="2" s="1"/>
  <c r="G753" i="2"/>
  <c r="I753" i="2" l="1"/>
  <c r="J753" i="2" s="1"/>
  <c r="G754" i="2"/>
  <c r="E754" i="2"/>
  <c r="F755" i="2"/>
  <c r="E755" i="2" l="1"/>
  <c r="F756" i="2"/>
  <c r="I754" i="2"/>
  <c r="J754" i="2" s="1"/>
  <c r="G755" i="2"/>
  <c r="I755" i="2" l="1"/>
  <c r="J755" i="2" s="1"/>
  <c r="G756" i="2"/>
  <c r="E756" i="2"/>
  <c r="F757" i="2"/>
  <c r="E757" i="2" l="1"/>
  <c r="F758" i="2"/>
  <c r="I756" i="2"/>
  <c r="J756" i="2" s="1"/>
  <c r="G757" i="2"/>
  <c r="I757" i="2" l="1"/>
  <c r="J757" i="2" s="1"/>
  <c r="G758" i="2"/>
  <c r="E758" i="2"/>
  <c r="F759" i="2"/>
  <c r="E759" i="2" l="1"/>
  <c r="F760" i="2"/>
  <c r="I758" i="2"/>
  <c r="J758" i="2" s="1"/>
  <c r="G759" i="2"/>
  <c r="I759" i="2" l="1"/>
  <c r="J759" i="2" s="1"/>
  <c r="G760" i="2"/>
  <c r="E760" i="2"/>
  <c r="F761" i="2"/>
  <c r="E761" i="2" l="1"/>
  <c r="F762" i="2"/>
  <c r="I760" i="2"/>
  <c r="J760" i="2" s="1"/>
  <c r="G761" i="2"/>
  <c r="I761" i="2" l="1"/>
  <c r="J761" i="2" s="1"/>
  <c r="G762" i="2"/>
  <c r="E762" i="2"/>
  <c r="F763" i="2"/>
  <c r="E763" i="2" l="1"/>
  <c r="F764" i="2"/>
  <c r="I762" i="2"/>
  <c r="J762" i="2" s="1"/>
  <c r="G763" i="2"/>
  <c r="I763" i="2" l="1"/>
  <c r="J763" i="2" s="1"/>
  <c r="G764" i="2"/>
  <c r="E764" i="2"/>
  <c r="F765" i="2"/>
  <c r="E765" i="2" l="1"/>
  <c r="F766" i="2"/>
  <c r="I764" i="2"/>
  <c r="J764" i="2" s="1"/>
  <c r="G765" i="2"/>
  <c r="I765" i="2" l="1"/>
  <c r="J765" i="2" s="1"/>
  <c r="G766" i="2"/>
  <c r="E766" i="2"/>
  <c r="F767" i="2"/>
  <c r="E767" i="2" s="1"/>
  <c r="I766" i="2" l="1"/>
  <c r="J766" i="2" s="1"/>
  <c r="G767" i="2"/>
  <c r="I767" i="2" s="1"/>
  <c r="J767" i="2" s="1"/>
</calcChain>
</file>

<file path=xl/sharedStrings.xml><?xml version="1.0" encoding="utf-8"?>
<sst xmlns="http://schemas.openxmlformats.org/spreadsheetml/2006/main" count="41" uniqueCount="35">
  <si>
    <t>Tsamp(h)</t>
  </si>
  <si>
    <t>3 min</t>
  </si>
  <si>
    <t>Clevidipine</t>
  </si>
  <si>
    <t>5 min</t>
  </si>
  <si>
    <t>10 min</t>
  </si>
  <si>
    <t>Vd(L/kg)</t>
  </si>
  <si>
    <t>Vd(L)</t>
  </si>
  <si>
    <t>CL(L/h)</t>
  </si>
  <si>
    <t>Enter weight (kg) in cell below:</t>
  </si>
  <si>
    <t>Table of flow patterns according to step duration:</t>
  </si>
  <si>
    <t>Enter sampling rate (h)--&gt;</t>
  </si>
  <si>
    <t>Paste desired flow pattern below:</t>
  </si>
  <si>
    <t>Concentration in nmol/ml:</t>
  </si>
  <si>
    <t xml:space="preserve">Drug name: </t>
  </si>
  <si>
    <t>Drug-specific parameters (insert from table):</t>
  </si>
  <si>
    <t xml:space="preserve">t-1/2 (min) </t>
  </si>
  <si>
    <t>G (decay factor)</t>
  </si>
  <si>
    <t xml:space="preserve">&lt;- Call this as Wtkg in formulas. </t>
  </si>
  <si>
    <t xml:space="preserve">&lt;- Call this as Tsamp in formulas. </t>
  </si>
  <si>
    <t>(mins)</t>
  </si>
  <si>
    <t>(hrs)</t>
  </si>
  <si>
    <t>Instantaneous Plasma Concentration at Time (t)</t>
  </si>
  <si>
    <t>(nmol/L)</t>
  </si>
  <si>
    <t xml:space="preserve">Normalized Plasma Concentration at Time (t) </t>
  </si>
  <si>
    <t>(nmol/l)</t>
  </si>
  <si>
    <t>Total Infusion Time</t>
  </si>
  <si>
    <t>Total infusion Time</t>
  </si>
  <si>
    <t>Table of Referenced Drug Parameters:</t>
  </si>
  <si>
    <t>Norepinephrine</t>
  </si>
  <si>
    <t>Epinephrine</t>
  </si>
  <si>
    <t>Nitroglycerin</t>
  </si>
  <si>
    <t>Vasopressin</t>
  </si>
  <si>
    <t xml:space="preserve">CL(L/h) [take CL in L/min/kg from parameter sheet, multiply Wtkg * 60] </t>
  </si>
  <si>
    <t>Vd(L) [multiply Vd (L/kg) by Wtkg]</t>
  </si>
  <si>
    <t xml:space="preserve">Reference values from table: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</si>
</sst>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theme="1"/>
      <name val="Calibri (Body)"/>
    </font>
    <font>
      <b/>
      <u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4" xfId="0" applyFill="1" applyBorder="1"/>
    <xf numFmtId="0" fontId="0" fillId="2" borderId="15" xfId="0" applyFill="1" applyBorder="1"/>
    <xf numFmtId="0" fontId="1" fillId="2" borderId="11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6" xfId="0" applyFont="1" applyFill="1" applyBorder="1"/>
    <xf numFmtId="0" fontId="2" fillId="2" borderId="1" xfId="0" applyFont="1" applyFill="1" applyBorder="1"/>
    <xf numFmtId="0" fontId="2" fillId="0" borderId="0" xfId="0" applyFont="1"/>
    <xf numFmtId="0" fontId="3" fillId="2" borderId="15" xfId="0" applyFont="1" applyFill="1" applyBorder="1"/>
    <xf numFmtId="0" fontId="3" fillId="2" borderId="13" xfId="0" applyFont="1" applyFill="1" applyBorder="1"/>
    <xf numFmtId="0" fontId="3" fillId="2" borderId="12" xfId="0" applyFont="1" applyFill="1" applyBorder="1"/>
    <xf numFmtId="0" fontId="3" fillId="2" borderId="9" xfId="0" applyFont="1" applyFill="1" applyBorder="1"/>
    <xf numFmtId="0" fontId="3" fillId="2" borderId="4" xfId="0" applyFont="1" applyFill="1" applyBorder="1"/>
    <xf numFmtId="0" fontId="3" fillId="2" borderId="7" xfId="0" applyFont="1" applyFill="1" applyBorder="1"/>
    <xf numFmtId="0" fontId="1" fillId="2" borderId="7" xfId="0" applyFont="1" applyFill="1" applyBorder="1"/>
    <xf numFmtId="0" fontId="1" fillId="2" borderId="2" xfId="0" applyFont="1" applyFill="1" applyBorder="1"/>
    <xf numFmtId="0" fontId="0" fillId="2" borderId="8" xfId="0" applyFill="1" applyBorder="1" applyAlignment="1">
      <alignment horizontal="right"/>
    </xf>
    <xf numFmtId="0" fontId="2" fillId="3" borderId="1" xfId="0" applyFont="1" applyFill="1" applyBorder="1"/>
    <xf numFmtId="0" fontId="4" fillId="3" borderId="4" xfId="0" applyFont="1" applyFill="1" applyBorder="1"/>
    <xf numFmtId="0" fontId="4" fillId="3" borderId="7" xfId="0" applyFont="1" applyFill="1" applyBorder="1"/>
    <xf numFmtId="0" fontId="4" fillId="3" borderId="9" xfId="0" applyFont="1" applyFill="1" applyBorder="1"/>
    <xf numFmtId="0" fontId="1" fillId="0" borderId="0" xfId="0" applyFont="1" applyAlignment="1">
      <alignment horizontal="center"/>
    </xf>
    <xf numFmtId="0" fontId="0" fillId="3" borderId="16" xfId="0" applyFill="1" applyBorder="1" applyAlignment="1">
      <alignment horizontal="right"/>
    </xf>
    <xf numFmtId="0" fontId="0" fillId="3" borderId="13" xfId="0" applyFill="1" applyBorder="1" applyAlignment="1">
      <alignment horizontal="right"/>
    </xf>
    <xf numFmtId="0" fontId="0" fillId="3" borderId="17" xfId="0" applyFill="1" applyBorder="1" applyAlignment="1">
      <alignment horizontal="right"/>
    </xf>
    <xf numFmtId="0" fontId="0" fillId="3" borderId="18" xfId="0" applyFill="1" applyBorder="1" applyAlignment="1">
      <alignment horizontal="right"/>
    </xf>
    <xf numFmtId="1" fontId="0" fillId="3" borderId="16" xfId="0" applyNumberFormat="1" applyFill="1" applyBorder="1" applyAlignment="1">
      <alignment horizontal="right"/>
    </xf>
    <xf numFmtId="0" fontId="0" fillId="3" borderId="19" xfId="0" applyFill="1" applyBorder="1" applyAlignment="1">
      <alignment horizontal="right"/>
    </xf>
    <xf numFmtId="0" fontId="0" fillId="3" borderId="20" xfId="0" applyFill="1" applyBorder="1" applyAlignment="1">
      <alignment horizontal="right"/>
    </xf>
    <xf numFmtId="0" fontId="0" fillId="3" borderId="21" xfId="0" applyFill="1" applyBorder="1" applyAlignment="1">
      <alignment horizontal="right"/>
    </xf>
    <xf numFmtId="0" fontId="0" fillId="3" borderId="22" xfId="0" applyFill="1" applyBorder="1" applyAlignment="1">
      <alignment horizontal="right"/>
    </xf>
    <xf numFmtId="1" fontId="0" fillId="3" borderId="23" xfId="0" applyNumberFormat="1" applyFill="1" applyBorder="1" applyAlignment="1">
      <alignment horizontal="right"/>
    </xf>
    <xf numFmtId="0" fontId="0" fillId="3" borderId="23" xfId="0" applyFill="1" applyBorder="1" applyAlignment="1">
      <alignment horizontal="right"/>
    </xf>
    <xf numFmtId="0" fontId="0" fillId="3" borderId="24" xfId="0" applyFill="1" applyBorder="1" applyAlignment="1">
      <alignment horizontal="right"/>
    </xf>
    <xf numFmtId="0" fontId="0" fillId="3" borderId="25" xfId="0" applyFill="1" applyBorder="1" applyAlignment="1">
      <alignment horizontal="right"/>
    </xf>
    <xf numFmtId="0" fontId="0" fillId="3" borderId="26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98389</xdr:colOff>
      <xdr:row>2</xdr:row>
      <xdr:rowOff>91965</xdr:rowOff>
    </xdr:from>
    <xdr:to>
      <xdr:col>10</xdr:col>
      <xdr:colOff>267723</xdr:colOff>
      <xdr:row>6</xdr:row>
      <xdr:rowOff>7300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78031ABF-F08F-EAA7-374B-ED1911991FA0}"/>
            </a:ext>
          </a:extLst>
        </xdr:cNvPr>
        <xdr:cNvSpPr/>
      </xdr:nvSpPr>
      <xdr:spPr>
        <a:xfrm>
          <a:off x="14338446" y="529896"/>
          <a:ext cx="3103472" cy="718209"/>
        </a:xfrm>
        <a:prstGeom prst="rightArrow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6237-21E2-E540-9760-05CE0883D113}">
  <dimension ref="A1:Q767"/>
  <sheetViews>
    <sheetView tabSelected="1" zoomScale="69" workbookViewId="0">
      <selection activeCell="M12" sqref="M12"/>
    </sheetView>
  </sheetViews>
  <sheetFormatPr baseColWidth="10" defaultRowHeight="16" x14ac:dyDescent="0.2"/>
  <cols>
    <col min="1" max="1" width="26.5" customWidth="1"/>
    <col min="2" max="2" width="25.83203125" customWidth="1"/>
    <col min="3" max="3" width="11" customWidth="1"/>
    <col min="4" max="4" width="36.33203125" customWidth="1"/>
    <col min="5" max="5" width="17.6640625" customWidth="1"/>
    <col min="6" max="6" width="27" customWidth="1"/>
    <col min="7" max="7" width="42.5" customWidth="1"/>
    <col min="8" max="9" width="0" hidden="1" customWidth="1"/>
    <col min="10" max="10" width="38.5" customWidth="1"/>
    <col min="12" max="12" width="60" customWidth="1"/>
    <col min="13" max="13" width="20.33203125" customWidth="1"/>
    <col min="14" max="14" width="18" customWidth="1"/>
    <col min="15" max="16" width="18.1640625" customWidth="1"/>
  </cols>
  <sheetData>
    <row r="1" spans="1:17" ht="17" thickBot="1" x14ac:dyDescent="0.25">
      <c r="B1" s="4"/>
      <c r="C1" s="17" t="s">
        <v>0</v>
      </c>
      <c r="D1" s="19"/>
      <c r="F1" s="24" t="s">
        <v>14</v>
      </c>
      <c r="G1" s="6"/>
      <c r="L1" s="29" t="s">
        <v>27</v>
      </c>
    </row>
    <row r="2" spans="1:17" ht="17" thickBot="1" x14ac:dyDescent="0.25">
      <c r="B2" s="23" t="s">
        <v>10</v>
      </c>
      <c r="C2" s="10">
        <f>1/360</f>
        <v>2.7777777777777779E-3</v>
      </c>
      <c r="D2" s="1" t="s">
        <v>18</v>
      </c>
      <c r="F2" s="25" t="s">
        <v>13</v>
      </c>
      <c r="G2" s="28" t="s">
        <v>2</v>
      </c>
      <c r="L2" s="30" t="s">
        <v>13</v>
      </c>
      <c r="M2" s="35" t="s">
        <v>2</v>
      </c>
      <c r="N2" s="39" t="s">
        <v>30</v>
      </c>
      <c r="O2" s="40" t="s">
        <v>28</v>
      </c>
      <c r="P2" s="40" t="s">
        <v>29</v>
      </c>
      <c r="Q2" s="41" t="s">
        <v>31</v>
      </c>
    </row>
    <row r="3" spans="1:17" x14ac:dyDescent="0.2">
      <c r="F3" s="25" t="s">
        <v>12</v>
      </c>
      <c r="G3" s="8">
        <f>1000000000*1.09649122807018E-06</f>
        <v>1096.4912280701801</v>
      </c>
      <c r="J3" s="33" t="s">
        <v>34</v>
      </c>
      <c r="L3" s="31" t="s">
        <v>12</v>
      </c>
      <c r="M3" s="36">
        <v>1096.4912280701801</v>
      </c>
      <c r="N3" s="42">
        <v>4404000</v>
      </c>
      <c r="O3" s="38">
        <v>189</v>
      </c>
      <c r="P3" s="38">
        <v>109.17</v>
      </c>
      <c r="Q3" s="43">
        <v>1.75</v>
      </c>
    </row>
    <row r="4" spans="1:17" x14ac:dyDescent="0.2">
      <c r="F4" s="25" t="s">
        <v>5</v>
      </c>
      <c r="G4" s="8">
        <v>0.2</v>
      </c>
      <c r="L4" s="31" t="s">
        <v>5</v>
      </c>
      <c r="M4" s="36">
        <v>0.2</v>
      </c>
      <c r="N4" s="42">
        <v>3.3</v>
      </c>
      <c r="O4" s="34">
        <v>8.8000000000000007</v>
      </c>
      <c r="P4" s="34">
        <v>0.6</v>
      </c>
      <c r="Q4" s="44">
        <v>0.2</v>
      </c>
    </row>
    <row r="5" spans="1:17" ht="15" customHeight="1" thickBot="1" x14ac:dyDescent="0.25">
      <c r="F5" s="25" t="s">
        <v>6</v>
      </c>
      <c r="G5" s="8">
        <f>G4*Wtkg</f>
        <v>0.91400000000000015</v>
      </c>
      <c r="L5" s="31" t="s">
        <v>33</v>
      </c>
      <c r="M5" s="36">
        <f>M4*Wtkg</f>
        <v>0.91400000000000015</v>
      </c>
      <c r="N5" s="42">
        <f>N4*Wtkg</f>
        <v>15.081</v>
      </c>
      <c r="O5" s="34">
        <f>O4*Wtkg</f>
        <v>40.216000000000008</v>
      </c>
      <c r="P5" s="34">
        <f>P4*Wtkg</f>
        <v>2.742</v>
      </c>
      <c r="Q5" s="44">
        <f>Q4*Wtkg</f>
        <v>0.91400000000000015</v>
      </c>
    </row>
    <row r="6" spans="1:17" x14ac:dyDescent="0.2">
      <c r="A6" s="22" t="s">
        <v>8</v>
      </c>
      <c r="F6" s="25" t="s">
        <v>7</v>
      </c>
      <c r="G6" s="8">
        <f>0.125*Wtkg*60</f>
        <v>34.275000000000006</v>
      </c>
      <c r="L6" s="31" t="s">
        <v>32</v>
      </c>
      <c r="M6" s="36">
        <f>0.125*Wtkg*60</f>
        <v>34.275000000000006</v>
      </c>
      <c r="N6" s="42">
        <f>1.12*Wtkg*60</f>
        <v>307.10400000000004</v>
      </c>
      <c r="O6" s="34">
        <f>1.4*Wtkg*60</f>
        <v>383.88</v>
      </c>
      <c r="P6" s="34">
        <f>0.052*Wtkg*60</f>
        <v>14.2584</v>
      </c>
      <c r="Q6" s="44">
        <f>0.01*Wtkg*60</f>
        <v>2.7420000000000004</v>
      </c>
    </row>
    <row r="7" spans="1:17" ht="17" thickBot="1" x14ac:dyDescent="0.25">
      <c r="A7" s="3">
        <f>4.57</f>
        <v>4.57</v>
      </c>
      <c r="B7" s="1" t="s">
        <v>17</v>
      </c>
      <c r="F7" s="25" t="s">
        <v>15</v>
      </c>
      <c r="G7" s="8">
        <f>60*LN(2)*G5/G6</f>
        <v>1.1090354888959124</v>
      </c>
      <c r="L7" s="32" t="s">
        <v>15</v>
      </c>
      <c r="M7" s="37">
        <v>1.1100000000000001</v>
      </c>
      <c r="N7" s="45">
        <v>2</v>
      </c>
      <c r="O7" s="46">
        <v>4</v>
      </c>
      <c r="P7" s="46">
        <v>8</v>
      </c>
      <c r="Q7" s="47">
        <v>14</v>
      </c>
    </row>
    <row r="8" spans="1:17" ht="17" thickBot="1" x14ac:dyDescent="0.25">
      <c r="A8" s="21" t="s">
        <v>9</v>
      </c>
      <c r="B8" s="11"/>
      <c r="C8" s="12"/>
      <c r="D8" s="20" t="s">
        <v>11</v>
      </c>
      <c r="F8" s="26" t="s">
        <v>16</v>
      </c>
      <c r="G8" s="8">
        <f>EXP(-Tsamp*LN(2)/(G7/60))</f>
        <v>0.90107510572129057</v>
      </c>
    </row>
    <row r="9" spans="1:17" x14ac:dyDescent="0.2">
      <c r="A9" s="7"/>
      <c r="B9" s="2"/>
      <c r="C9" s="8"/>
      <c r="D9" s="8"/>
      <c r="E9" s="18" t="s">
        <v>26</v>
      </c>
      <c r="F9" s="18" t="s">
        <v>25</v>
      </c>
      <c r="G9" s="18" t="s">
        <v>21</v>
      </c>
      <c r="H9" s="5"/>
      <c r="I9" s="5"/>
      <c r="J9" s="17" t="s">
        <v>23</v>
      </c>
    </row>
    <row r="10" spans="1:17" ht="17" thickBot="1" x14ac:dyDescent="0.25">
      <c r="A10" s="14" t="s">
        <v>1</v>
      </c>
      <c r="B10" s="15" t="s">
        <v>3</v>
      </c>
      <c r="C10" s="16" t="s">
        <v>4</v>
      </c>
      <c r="D10" s="16" t="s">
        <v>4</v>
      </c>
      <c r="E10" s="27" t="s">
        <v>19</v>
      </c>
      <c r="F10" s="27" t="s">
        <v>20</v>
      </c>
      <c r="G10" s="27" t="s">
        <v>22</v>
      </c>
      <c r="H10" s="9"/>
      <c r="I10" s="9"/>
      <c r="J10" s="13" t="s">
        <v>24</v>
      </c>
    </row>
    <row r="11" spans="1:17" x14ac:dyDescent="0.2">
      <c r="A11" s="2">
        <v>0.5</v>
      </c>
      <c r="B11" s="2">
        <v>0.5</v>
      </c>
      <c r="C11" s="2">
        <v>0.5</v>
      </c>
      <c r="D11" s="2">
        <v>0.5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7" x14ac:dyDescent="0.2">
      <c r="A12" s="2">
        <v>0.5</v>
      </c>
      <c r="B12" s="2">
        <v>0.5</v>
      </c>
      <c r="C12" s="2">
        <v>0.5</v>
      </c>
      <c r="D12" s="2">
        <v>0.5</v>
      </c>
      <c r="E12">
        <f t="shared" ref="E12:E75" si="0">F12*60</f>
        <v>0.16666666666666669</v>
      </c>
      <c r="F12">
        <f t="shared" ref="F12:F75" si="1">Tsamp+F11</f>
        <v>2.7777777777777779E-3</v>
      </c>
      <c r="G12">
        <f t="shared" ref="G12:G75" si="2">Tsamp*$D12*G$3/G$5+G$8*G11</f>
        <v>1.6661974654603999</v>
      </c>
      <c r="H12">
        <f t="shared" ref="H12:H75" si="3">$D12*$G$3/$G$6</f>
        <v>15.995495668419839</v>
      </c>
      <c r="I12">
        <f t="shared" ref="I12:I75" si="4">G12/H12*100</f>
        <v>10.416666666666668</v>
      </c>
      <c r="J12">
        <f>($I12/100)*$D12</f>
        <v>5.2083333333333343E-2</v>
      </c>
    </row>
    <row r="13" spans="1:17" x14ac:dyDescent="0.2">
      <c r="A13" s="2">
        <v>0.5</v>
      </c>
      <c r="B13" s="2">
        <v>0.5</v>
      </c>
      <c r="C13" s="2">
        <v>0.5</v>
      </c>
      <c r="D13" s="2">
        <v>0.5</v>
      </c>
      <c r="E13">
        <f t="shared" si="0"/>
        <v>0.33333333333333337</v>
      </c>
      <c r="F13">
        <f t="shared" si="1"/>
        <v>5.5555555555555558E-3</v>
      </c>
      <c r="G13">
        <f t="shared" si="2"/>
        <v>3.1675665228026761</v>
      </c>
      <c r="H13">
        <f t="shared" si="3"/>
        <v>15.995495668419839</v>
      </c>
      <c r="I13">
        <f t="shared" si="4"/>
        <v>19.802865684596778</v>
      </c>
      <c r="J13">
        <f t="shared" ref="J13:J76" si="5">($I13/100)*$D13</f>
        <v>9.9014328422983897E-2</v>
      </c>
    </row>
    <row r="14" spans="1:17" x14ac:dyDescent="0.2">
      <c r="A14" s="2">
        <v>0.5</v>
      </c>
      <c r="B14" s="2">
        <v>0.5</v>
      </c>
      <c r="C14" s="2">
        <v>0.5</v>
      </c>
      <c r="D14" s="2">
        <v>0.5</v>
      </c>
      <c r="E14">
        <f t="shared" si="0"/>
        <v>0.5</v>
      </c>
      <c r="F14">
        <f t="shared" si="1"/>
        <v>8.3333333333333332E-3</v>
      </c>
      <c r="G14">
        <f t="shared" si="2"/>
        <v>4.5204128048740415</v>
      </c>
      <c r="H14">
        <f t="shared" si="3"/>
        <v>15.995495668419839</v>
      </c>
      <c r="I14">
        <f t="shared" si="4"/>
        <v>28.26053595699922</v>
      </c>
      <c r="J14">
        <f t="shared" si="5"/>
        <v>0.14130267978499611</v>
      </c>
    </row>
    <row r="15" spans="1:17" x14ac:dyDescent="0.2">
      <c r="A15" s="2">
        <v>0.5</v>
      </c>
      <c r="B15" s="2">
        <v>0.5</v>
      </c>
      <c r="C15" s="2">
        <v>0.5</v>
      </c>
      <c r="D15" s="2">
        <v>0.5</v>
      </c>
      <c r="E15">
        <f t="shared" si="0"/>
        <v>0.66666666666666674</v>
      </c>
      <c r="F15">
        <f t="shared" si="1"/>
        <v>1.1111111111111112E-2</v>
      </c>
      <c r="G15">
        <f t="shared" si="2"/>
        <v>5.7394289115161516</v>
      </c>
      <c r="H15">
        <f t="shared" si="3"/>
        <v>15.995495668419839</v>
      </c>
      <c r="I15">
        <f t="shared" si="4"/>
        <v>35.881532091860066</v>
      </c>
      <c r="J15">
        <f t="shared" si="5"/>
        <v>0.17940766045930034</v>
      </c>
    </row>
    <row r="16" spans="1:17" x14ac:dyDescent="0.2">
      <c r="A16" s="2">
        <v>0.5</v>
      </c>
      <c r="B16" s="2">
        <v>0.5</v>
      </c>
      <c r="C16" s="2">
        <v>0.5</v>
      </c>
      <c r="D16" s="2">
        <v>0.5</v>
      </c>
      <c r="E16">
        <f t="shared" si="0"/>
        <v>0.83333333333333337</v>
      </c>
      <c r="F16">
        <f t="shared" si="1"/>
        <v>1.388888888888889E-2</v>
      </c>
      <c r="G16">
        <f t="shared" si="2"/>
        <v>6.8378539786846471</v>
      </c>
      <c r="H16">
        <f t="shared" si="3"/>
        <v>15.995495668419839</v>
      </c>
      <c r="I16">
        <f t="shared" si="4"/>
        <v>42.748621989781356</v>
      </c>
      <c r="J16">
        <f t="shared" si="5"/>
        <v>0.21374310994890677</v>
      </c>
    </row>
    <row r="17" spans="1:10" x14ac:dyDescent="0.2">
      <c r="A17" s="2">
        <v>0.5</v>
      </c>
      <c r="B17" s="2">
        <v>0.5</v>
      </c>
      <c r="C17" s="2">
        <v>0.5</v>
      </c>
      <c r="D17" s="2">
        <v>0.5</v>
      </c>
      <c r="E17">
        <f t="shared" si="0"/>
        <v>1</v>
      </c>
      <c r="F17">
        <f t="shared" si="1"/>
        <v>1.6666666666666666E-2</v>
      </c>
      <c r="G17">
        <f t="shared" si="2"/>
        <v>7.8276174622104158</v>
      </c>
      <c r="H17">
        <f t="shared" si="3"/>
        <v>15.995495668419839</v>
      </c>
      <c r="I17">
        <f t="shared" si="4"/>
        <v>48.936385745548385</v>
      </c>
      <c r="J17">
        <f t="shared" si="5"/>
        <v>0.24468192872774192</v>
      </c>
    </row>
    <row r="18" spans="1:10" x14ac:dyDescent="0.2">
      <c r="A18" s="2">
        <v>0.5</v>
      </c>
      <c r="B18" s="2">
        <v>0.5</v>
      </c>
      <c r="C18" s="2">
        <v>0.5</v>
      </c>
      <c r="D18" s="2">
        <v>0.5</v>
      </c>
      <c r="E18">
        <f t="shared" si="0"/>
        <v>1.1666666666666667</v>
      </c>
      <c r="F18">
        <f t="shared" si="1"/>
        <v>1.9444444444444445E-2</v>
      </c>
      <c r="G18">
        <f t="shared" si="2"/>
        <v>8.7194686977674714</v>
      </c>
      <c r="H18">
        <f t="shared" si="3"/>
        <v>15.995495668419839</v>
      </c>
      <c r="I18">
        <f t="shared" si="4"/>
        <v>54.512025625954543</v>
      </c>
      <c r="J18">
        <f t="shared" si="5"/>
        <v>0.27256012812977271</v>
      </c>
    </row>
    <row r="19" spans="1:10" x14ac:dyDescent="0.2">
      <c r="A19" s="2">
        <v>0.5</v>
      </c>
      <c r="B19" s="2">
        <v>0.5</v>
      </c>
      <c r="C19" s="2">
        <v>0.5</v>
      </c>
      <c r="D19" s="2">
        <v>0.5</v>
      </c>
      <c r="E19">
        <f t="shared" si="0"/>
        <v>1.3333333333333335</v>
      </c>
      <c r="F19">
        <f t="shared" si="1"/>
        <v>2.2222222222222223E-2</v>
      </c>
      <c r="G19">
        <f t="shared" si="2"/>
        <v>9.5230936441347076</v>
      </c>
      <c r="H19">
        <f t="shared" si="3"/>
        <v>15.995495668419839</v>
      </c>
      <c r="I19">
        <f t="shared" si="4"/>
        <v>59.536095920655349</v>
      </c>
      <c r="J19">
        <f t="shared" si="5"/>
        <v>0.29768047960327676</v>
      </c>
    </row>
    <row r="20" spans="1:10" x14ac:dyDescent="0.2">
      <c r="A20" s="2">
        <v>0.5</v>
      </c>
      <c r="B20" s="2">
        <v>0.5</v>
      </c>
      <c r="C20" s="2">
        <v>0.5</v>
      </c>
      <c r="D20" s="2">
        <v>0.5</v>
      </c>
      <c r="E20">
        <f t="shared" si="0"/>
        <v>1.5</v>
      </c>
      <c r="F20">
        <f t="shared" si="1"/>
        <v>2.5000000000000001E-2</v>
      </c>
      <c r="G20">
        <f t="shared" si="2"/>
        <v>10.247220077642831</v>
      </c>
      <c r="H20">
        <f t="shared" si="3"/>
        <v>15.995495668419839</v>
      </c>
      <c r="I20">
        <f t="shared" si="4"/>
        <v>64.063160592604078</v>
      </c>
      <c r="J20">
        <f t="shared" si="5"/>
        <v>0.32031580296302037</v>
      </c>
    </row>
    <row r="21" spans="1:10" x14ac:dyDescent="0.2">
      <c r="A21" s="2">
        <v>0.5</v>
      </c>
      <c r="B21" s="2">
        <v>0.5</v>
      </c>
      <c r="C21" s="2">
        <v>0.5</v>
      </c>
      <c r="D21" s="2">
        <v>0.5</v>
      </c>
      <c r="E21">
        <f t="shared" si="0"/>
        <v>1.6666666666666667</v>
      </c>
      <c r="F21">
        <f t="shared" si="1"/>
        <v>2.777777777777778E-2</v>
      </c>
      <c r="G21">
        <f t="shared" si="2"/>
        <v>10.899712380271746</v>
      </c>
      <c r="H21">
        <f t="shared" si="3"/>
        <v>15.995495668419839</v>
      </c>
      <c r="I21">
        <f t="shared" si="4"/>
        <v>68.142385870487416</v>
      </c>
      <c r="J21">
        <f t="shared" si="5"/>
        <v>0.3407119293524371</v>
      </c>
    </row>
    <row r="22" spans="1:10" x14ac:dyDescent="0.2">
      <c r="A22" s="2">
        <v>0.5</v>
      </c>
      <c r="B22" s="2">
        <v>0.5</v>
      </c>
      <c r="C22" s="2">
        <v>0.5</v>
      </c>
      <c r="D22" s="2">
        <v>0.5</v>
      </c>
      <c r="E22">
        <f t="shared" si="0"/>
        <v>1.8333333333333335</v>
      </c>
      <c r="F22">
        <f t="shared" si="1"/>
        <v>3.0555555555555558E-2</v>
      </c>
      <c r="G22">
        <f t="shared" si="2"/>
        <v>11.487656950845423</v>
      </c>
      <c r="H22">
        <f t="shared" si="3"/>
        <v>15.995495668419839</v>
      </c>
      <c r="I22">
        <f t="shared" si="4"/>
        <v>71.818074219017092</v>
      </c>
      <c r="J22">
        <f t="shared" si="5"/>
        <v>0.35909037109508546</v>
      </c>
    </row>
    <row r="23" spans="1:10" x14ac:dyDescent="0.2">
      <c r="A23" s="2">
        <v>0.5</v>
      </c>
      <c r="B23" s="2">
        <v>0.5</v>
      </c>
      <c r="C23" s="2">
        <v>0.5</v>
      </c>
      <c r="D23" s="2">
        <v>0.5</v>
      </c>
      <c r="E23">
        <f t="shared" si="0"/>
        <v>2</v>
      </c>
      <c r="F23">
        <f t="shared" si="1"/>
        <v>3.3333333333333333E-2</v>
      </c>
      <c r="G23">
        <f t="shared" si="2"/>
        <v>12.017439166933357</v>
      </c>
      <c r="H23">
        <f t="shared" si="3"/>
        <v>15.995495668419839</v>
      </c>
      <c r="I23">
        <f t="shared" si="4"/>
        <v>75.130145486266969</v>
      </c>
      <c r="J23">
        <f t="shared" si="5"/>
        <v>0.37565072743133482</v>
      </c>
    </row>
    <row r="24" spans="1:10" x14ac:dyDescent="0.2">
      <c r="A24" s="2">
        <v>0.5</v>
      </c>
      <c r="B24" s="2">
        <v>0.5</v>
      </c>
      <c r="C24" s="2">
        <v>0.5</v>
      </c>
      <c r="D24" s="2">
        <v>0.5</v>
      </c>
      <c r="E24">
        <f t="shared" si="0"/>
        <v>2.1666666666666665</v>
      </c>
      <c r="F24">
        <f t="shared" si="1"/>
        <v>3.6111111111111108E-2</v>
      </c>
      <c r="G24">
        <f t="shared" si="2"/>
        <v>12.494812733304052</v>
      </c>
      <c r="H24">
        <f t="shared" si="3"/>
        <v>15.995495668419839</v>
      </c>
      <c r="I24">
        <f t="shared" si="4"/>
        <v>78.114570453560617</v>
      </c>
      <c r="J24">
        <f t="shared" si="5"/>
        <v>0.39057285226780308</v>
      </c>
    </row>
    <row r="25" spans="1:10" x14ac:dyDescent="0.2">
      <c r="A25" s="2">
        <v>0.5</v>
      </c>
      <c r="B25" s="2">
        <v>0.5</v>
      </c>
      <c r="C25" s="2">
        <v>0.5</v>
      </c>
      <c r="D25" s="2">
        <v>0.5</v>
      </c>
      <c r="E25">
        <f t="shared" si="0"/>
        <v>2.333333333333333</v>
      </c>
      <c r="F25">
        <f t="shared" si="1"/>
        <v>3.8888888888888883E-2</v>
      </c>
      <c r="G25">
        <f t="shared" si="2"/>
        <v>12.924962170090076</v>
      </c>
      <c r="H25">
        <f t="shared" si="3"/>
        <v>15.995495668419839</v>
      </c>
      <c r="I25">
        <f t="shared" si="4"/>
        <v>80.803761496482011</v>
      </c>
      <c r="J25">
        <f t="shared" si="5"/>
        <v>0.40401880748241004</v>
      </c>
    </row>
    <row r="26" spans="1:10" x14ac:dyDescent="0.2">
      <c r="A26" s="2">
        <v>0.5</v>
      </c>
      <c r="B26" s="2">
        <v>0.5</v>
      </c>
      <c r="C26" s="2">
        <v>0.5</v>
      </c>
      <c r="D26" s="2">
        <v>0.5</v>
      </c>
      <c r="E26">
        <f t="shared" si="0"/>
        <v>2.4999999999999996</v>
      </c>
      <c r="F26">
        <f t="shared" si="1"/>
        <v>4.1666666666666657E-2</v>
      </c>
      <c r="G26">
        <f t="shared" si="2"/>
        <v>13.312559119317996</v>
      </c>
      <c r="H26">
        <f t="shared" si="3"/>
        <v>15.995495668419839</v>
      </c>
      <c r="I26">
        <f t="shared" si="4"/>
        <v>83.226924599787139</v>
      </c>
      <c r="J26">
        <f t="shared" si="5"/>
        <v>0.41613462299893572</v>
      </c>
    </row>
    <row r="27" spans="1:10" x14ac:dyDescent="0.2">
      <c r="A27" s="2">
        <v>0.5</v>
      </c>
      <c r="B27" s="2">
        <v>0.5</v>
      </c>
      <c r="C27" s="2">
        <v>0.5</v>
      </c>
      <c r="D27" s="2">
        <v>0.5</v>
      </c>
      <c r="E27">
        <f t="shared" si="0"/>
        <v>2.6666666666666661</v>
      </c>
      <c r="F27">
        <f t="shared" si="1"/>
        <v>4.4444444444444432E-2</v>
      </c>
      <c r="G27">
        <f t="shared" si="2"/>
        <v>13.661813081320794</v>
      </c>
      <c r="H27">
        <f t="shared" si="3"/>
        <v>15.995495668419839</v>
      </c>
      <c r="I27">
        <f t="shared" si="4"/>
        <v>85.410376549277728</v>
      </c>
      <c r="J27">
        <f t="shared" si="5"/>
        <v>0.42705188274638867</v>
      </c>
    </row>
    <row r="28" spans="1:10" x14ac:dyDescent="0.2">
      <c r="A28" s="2">
        <v>0.5</v>
      </c>
      <c r="B28" s="2">
        <v>0.5</v>
      </c>
      <c r="C28" s="2">
        <v>0.5</v>
      </c>
      <c r="D28" s="2">
        <v>0.5</v>
      </c>
      <c r="E28">
        <f t="shared" si="0"/>
        <v>2.8333333333333326</v>
      </c>
      <c r="F28">
        <f t="shared" si="1"/>
        <v>4.7222222222222207E-2</v>
      </c>
      <c r="G28">
        <f t="shared" si="2"/>
        <v>13.976517132056044</v>
      </c>
      <c r="H28">
        <f t="shared" si="3"/>
        <v>15.995495668419839</v>
      </c>
      <c r="I28">
        <f t="shared" si="4"/>
        <v>87.377830745502337</v>
      </c>
      <c r="J28">
        <f t="shared" si="5"/>
        <v>0.43688915372751169</v>
      </c>
    </row>
    <row r="29" spans="1:10" x14ac:dyDescent="0.2">
      <c r="A29" s="2">
        <v>0.5</v>
      </c>
      <c r="B29" s="2">
        <v>0.5</v>
      </c>
      <c r="C29" s="2">
        <v>0.5</v>
      </c>
      <c r="D29" s="2">
        <v>0.5</v>
      </c>
      <c r="E29">
        <f t="shared" si="0"/>
        <v>2.9999999999999991</v>
      </c>
      <c r="F29">
        <f t="shared" si="1"/>
        <v>4.9999999999999982E-2</v>
      </c>
      <c r="G29">
        <f t="shared" si="2"/>
        <v>14.260089117843227</v>
      </c>
      <c r="H29">
        <f t="shared" si="3"/>
        <v>15.995495668419839</v>
      </c>
      <c r="I29">
        <f t="shared" si="4"/>
        <v>89.150654743367213</v>
      </c>
      <c r="J29">
        <f t="shared" si="5"/>
        <v>0.44575327371683604</v>
      </c>
    </row>
    <row r="30" spans="1:10" x14ac:dyDescent="0.2">
      <c r="A30" s="2">
        <v>0.5</v>
      </c>
      <c r="B30" s="2">
        <v>0.5</v>
      </c>
      <c r="C30" s="2">
        <v>0.5</v>
      </c>
      <c r="D30" s="2">
        <v>0.5</v>
      </c>
      <c r="E30">
        <f t="shared" si="0"/>
        <v>3.1666666666666652</v>
      </c>
      <c r="F30">
        <f t="shared" si="1"/>
        <v>5.2777777777777757E-2</v>
      </c>
      <c r="G30">
        <f t="shared" si="2"/>
        <v>14.515608774916011</v>
      </c>
      <c r="H30">
        <f t="shared" si="3"/>
        <v>15.995495668419839</v>
      </c>
      <c r="I30">
        <f t="shared" si="4"/>
        <v>90.748102314668543</v>
      </c>
      <c r="J30">
        <f t="shared" si="5"/>
        <v>0.45374051157334272</v>
      </c>
    </row>
    <row r="31" spans="1:10" x14ac:dyDescent="0.2">
      <c r="A31" s="2">
        <v>0.5</v>
      </c>
      <c r="B31" s="2">
        <v>0.5</v>
      </c>
      <c r="C31" s="2">
        <v>0.5</v>
      </c>
      <c r="D31" s="2">
        <v>0.5</v>
      </c>
      <c r="E31">
        <f t="shared" si="0"/>
        <v>3.3333333333333317</v>
      </c>
      <c r="F31">
        <f t="shared" si="1"/>
        <v>5.5555555555555532E-2</v>
      </c>
      <c r="G31">
        <f t="shared" si="2"/>
        <v>14.745851176926736</v>
      </c>
      <c r="H31">
        <f t="shared" si="3"/>
        <v>15.995495668419839</v>
      </c>
      <c r="I31">
        <f t="shared" si="4"/>
        <v>92.187522553863104</v>
      </c>
      <c r="J31">
        <f t="shared" si="5"/>
        <v>0.4609376127693155</v>
      </c>
    </row>
    <row r="32" spans="1:10" x14ac:dyDescent="0.2">
      <c r="A32" s="2">
        <v>0.5</v>
      </c>
      <c r="B32" s="2">
        <v>0.5</v>
      </c>
      <c r="C32" s="2">
        <v>0.5</v>
      </c>
      <c r="D32" s="2">
        <v>0.5</v>
      </c>
      <c r="E32">
        <f t="shared" si="0"/>
        <v>3.4999999999999982</v>
      </c>
      <c r="F32">
        <f t="shared" si="1"/>
        <v>5.8333333333333307E-2</v>
      </c>
      <c r="G32">
        <f t="shared" si="2"/>
        <v>14.953316873660075</v>
      </c>
      <c r="H32">
        <f t="shared" si="3"/>
        <v>15.995495668419839</v>
      </c>
      <c r="I32">
        <f t="shared" si="4"/>
        <v>93.484548298072724</v>
      </c>
      <c r="J32">
        <f t="shared" si="5"/>
        <v>0.46742274149036361</v>
      </c>
    </row>
    <row r="33" spans="1:10" x14ac:dyDescent="0.2">
      <c r="A33" s="2">
        <v>0.5</v>
      </c>
      <c r="B33" s="2">
        <v>0.5</v>
      </c>
      <c r="C33" s="2">
        <v>0.5</v>
      </c>
      <c r="D33" s="2">
        <v>0.5</v>
      </c>
      <c r="E33">
        <f t="shared" si="0"/>
        <v>3.6666666666666647</v>
      </c>
      <c r="F33">
        <f t="shared" si="1"/>
        <v>6.1111111111111081E-2</v>
      </c>
      <c r="G33">
        <f t="shared" si="2"/>
        <v>15.14025904827761</v>
      </c>
      <c r="H33">
        <f t="shared" si="3"/>
        <v>15.995495668419839</v>
      </c>
      <c r="I33">
        <f t="shared" si="4"/>
        <v>94.653265907659645</v>
      </c>
      <c r="J33">
        <f t="shared" si="5"/>
        <v>0.47326632953829822</v>
      </c>
    </row>
    <row r="34" spans="1:10" x14ac:dyDescent="0.2">
      <c r="A34" s="2">
        <v>0.5</v>
      </c>
      <c r="B34" s="2">
        <v>0.5</v>
      </c>
      <c r="C34" s="2">
        <v>0.5</v>
      </c>
      <c r="D34" s="2">
        <v>0.5</v>
      </c>
      <c r="E34">
        <f t="shared" si="0"/>
        <v>3.8333333333333313</v>
      </c>
      <c r="F34">
        <f t="shared" si="1"/>
        <v>6.3888888888888856E-2</v>
      </c>
      <c r="G34">
        <f t="shared" si="2"/>
        <v>15.308707988034874</v>
      </c>
      <c r="H34">
        <f t="shared" si="3"/>
        <v>15.995495668419839</v>
      </c>
      <c r="I34">
        <f t="shared" si="4"/>
        <v>95.706368251276501</v>
      </c>
      <c r="J34">
        <f t="shared" si="5"/>
        <v>0.47853184125638248</v>
      </c>
    </row>
    <row r="35" spans="1:10" x14ac:dyDescent="0.2">
      <c r="A35" s="2">
        <v>0.5</v>
      </c>
      <c r="B35" s="2">
        <v>0.5</v>
      </c>
      <c r="C35" s="2">
        <v>0.5</v>
      </c>
      <c r="D35" s="2">
        <v>0.5</v>
      </c>
      <c r="E35">
        <f t="shared" si="0"/>
        <v>3.9999999999999982</v>
      </c>
      <c r="F35">
        <f t="shared" si="1"/>
        <v>6.6666666666666638E-2</v>
      </c>
      <c r="G35">
        <f t="shared" si="2"/>
        <v>15.460493134235289</v>
      </c>
      <c r="H35">
        <f t="shared" si="3"/>
        <v>15.995495668419839</v>
      </c>
      <c r="I35">
        <f t="shared" si="4"/>
        <v>96.655292556886423</v>
      </c>
      <c r="J35">
        <f t="shared" si="5"/>
        <v>0.48327646278443209</v>
      </c>
    </row>
    <row r="36" spans="1:10" x14ac:dyDescent="0.2">
      <c r="A36" s="2">
        <v>0.5</v>
      </c>
      <c r="B36" s="2">
        <v>0.5</v>
      </c>
      <c r="C36" s="2">
        <v>0.5</v>
      </c>
      <c r="D36" s="2">
        <v>0.5</v>
      </c>
      <c r="E36">
        <f t="shared" si="0"/>
        <v>4.1666666666666652</v>
      </c>
      <c r="F36">
        <f t="shared" si="1"/>
        <v>6.944444444444442E-2</v>
      </c>
      <c r="G36">
        <f t="shared" si="2"/>
        <v>15.59726295089475</v>
      </c>
      <c r="H36">
        <f t="shared" si="3"/>
        <v>15.995495668419839</v>
      </c>
      <c r="I36">
        <f t="shared" si="4"/>
        <v>97.510344625885352</v>
      </c>
      <c r="J36">
        <f t="shared" si="5"/>
        <v>0.48755172312942674</v>
      </c>
    </row>
    <row r="37" spans="1:10" x14ac:dyDescent="0.2">
      <c r="A37" s="2">
        <v>0.5</v>
      </c>
      <c r="B37" s="2">
        <v>0.5</v>
      </c>
      <c r="C37" s="2">
        <v>0.5</v>
      </c>
      <c r="D37" s="2">
        <v>0.5</v>
      </c>
      <c r="E37">
        <f t="shared" si="0"/>
        <v>4.3333333333333321</v>
      </c>
      <c r="F37">
        <f t="shared" si="1"/>
        <v>7.2222222222222202E-2</v>
      </c>
      <c r="G37">
        <f t="shared" si="2"/>
        <v>15.720502827900654</v>
      </c>
      <c r="H37">
        <f t="shared" si="3"/>
        <v>15.995495668419839</v>
      </c>
      <c r="I37">
        <f t="shared" si="4"/>
        <v>98.280810759355802</v>
      </c>
      <c r="J37">
        <f t="shared" si="5"/>
        <v>0.49140405379677898</v>
      </c>
    </row>
    <row r="38" spans="1:10" x14ac:dyDescent="0.2">
      <c r="A38" s="2">
        <v>0.5</v>
      </c>
      <c r="B38" s="2">
        <v>0.5</v>
      </c>
      <c r="C38" s="2">
        <v>0.5</v>
      </c>
      <c r="D38" s="2">
        <v>0.5</v>
      </c>
      <c r="E38">
        <f t="shared" si="0"/>
        <v>4.4999999999999991</v>
      </c>
      <c r="F38">
        <f t="shared" si="1"/>
        <v>7.4999999999999983E-2</v>
      </c>
      <c r="G38">
        <f t="shared" si="2"/>
        <v>15.831551213102829</v>
      </c>
      <c r="H38">
        <f t="shared" si="3"/>
        <v>15.995495668419839</v>
      </c>
      <c r="I38">
        <f t="shared" si="4"/>
        <v>98.97505861202734</v>
      </c>
      <c r="J38">
        <f t="shared" si="5"/>
        <v>0.49487529306013672</v>
      </c>
    </row>
    <row r="39" spans="1:10" x14ac:dyDescent="0.2">
      <c r="A39" s="2">
        <v>0.5</v>
      </c>
      <c r="B39" s="2">
        <v>0.5</v>
      </c>
      <c r="C39" s="2">
        <v>0.5</v>
      </c>
      <c r="D39" s="2">
        <v>0.5</v>
      </c>
      <c r="E39">
        <f t="shared" si="0"/>
        <v>4.6666666666666661</v>
      </c>
      <c r="F39">
        <f t="shared" si="1"/>
        <v>7.7777777777777765E-2</v>
      </c>
      <c r="G39">
        <f t="shared" si="2"/>
        <v>15.931614148539056</v>
      </c>
      <c r="H39">
        <f t="shared" si="3"/>
        <v>15.995495668419839</v>
      </c>
      <c r="I39">
        <f t="shared" si="4"/>
        <v>99.60062806927013</v>
      </c>
      <c r="J39">
        <f t="shared" si="5"/>
        <v>0.49800314034635063</v>
      </c>
    </row>
    <row r="40" spans="1:10" x14ac:dyDescent="0.2">
      <c r="A40" s="2">
        <v>0.5</v>
      </c>
      <c r="B40" s="2">
        <v>0.5</v>
      </c>
      <c r="C40" s="2">
        <v>0.5</v>
      </c>
      <c r="D40" s="2">
        <v>0.5</v>
      </c>
      <c r="E40">
        <f t="shared" si="0"/>
        <v>4.833333333333333</v>
      </c>
      <c r="F40">
        <f t="shared" si="1"/>
        <v>8.0555555555555547E-2</v>
      </c>
      <c r="G40">
        <f t="shared" si="2"/>
        <v>16.021778368666038</v>
      </c>
      <c r="H40">
        <f t="shared" si="3"/>
        <v>15.995495668419839</v>
      </c>
      <c r="I40">
        <f t="shared" si="4"/>
        <v>100.16431313409117</v>
      </c>
      <c r="J40">
        <f t="shared" si="5"/>
        <v>0.50082156567045588</v>
      </c>
    </row>
    <row r="41" spans="1:10" x14ac:dyDescent="0.2">
      <c r="A41" s="2">
        <v>0.5</v>
      </c>
      <c r="B41" s="2">
        <v>0.5</v>
      </c>
      <c r="C41" s="2">
        <v>0.5</v>
      </c>
      <c r="D41" s="2">
        <v>0.5</v>
      </c>
      <c r="E41">
        <f t="shared" si="0"/>
        <v>5</v>
      </c>
      <c r="F41">
        <f t="shared" si="1"/>
        <v>8.3333333333333329E-2</v>
      </c>
      <c r="G41">
        <f t="shared" si="2"/>
        <v>16.103023102849235</v>
      </c>
      <c r="H41">
        <f t="shared" si="3"/>
        <v>15.995495668419839</v>
      </c>
      <c r="I41">
        <f t="shared" si="4"/>
        <v>100.67223571346833</v>
      </c>
      <c r="J41">
        <f t="shared" si="5"/>
        <v>0.50336117856734164</v>
      </c>
    </row>
    <row r="42" spans="1:10" x14ac:dyDescent="0.2">
      <c r="A42" s="2">
        <v>0.5</v>
      </c>
      <c r="B42" s="2">
        <v>0.5</v>
      </c>
      <c r="C42" s="2">
        <v>0.5</v>
      </c>
      <c r="D42" s="2">
        <v>0.5</v>
      </c>
      <c r="E42">
        <f t="shared" si="0"/>
        <v>5.166666666666667</v>
      </c>
      <c r="F42">
        <f t="shared" si="1"/>
        <v>8.611111111111111E-2</v>
      </c>
      <c r="G42">
        <f t="shared" si="2"/>
        <v>16.176230710292661</v>
      </c>
      <c r="H42">
        <f t="shared" si="3"/>
        <v>15.995495668419839</v>
      </c>
      <c r="I42">
        <f t="shared" si="4"/>
        <v>101.12991210537882</v>
      </c>
      <c r="J42">
        <f t="shared" si="5"/>
        <v>0.50564956052689414</v>
      </c>
    </row>
    <row r="43" spans="1:10" x14ac:dyDescent="0.2">
      <c r="A43" s="2">
        <v>0.5</v>
      </c>
      <c r="B43" s="2">
        <v>0.5</v>
      </c>
      <c r="C43" s="2">
        <v>0.5</v>
      </c>
      <c r="D43" s="2">
        <v>0.5</v>
      </c>
      <c r="E43">
        <f t="shared" si="0"/>
        <v>5.3333333333333339</v>
      </c>
      <c r="F43">
        <f t="shared" si="1"/>
        <v>8.8888888888888892E-2</v>
      </c>
      <c r="G43">
        <f t="shared" si="2"/>
        <v>16.242196262909346</v>
      </c>
      <c r="H43">
        <f t="shared" si="3"/>
        <v>15.995495668419839</v>
      </c>
      <c r="I43">
        <f t="shared" si="4"/>
        <v>101.54231290860571</v>
      </c>
      <c r="J43">
        <f t="shared" si="5"/>
        <v>0.50771156454302857</v>
      </c>
    </row>
    <row r="44" spans="1:10" x14ac:dyDescent="0.2">
      <c r="A44" s="2">
        <v>0.5</v>
      </c>
      <c r="B44" s="2">
        <v>0.5</v>
      </c>
      <c r="C44" s="2">
        <v>0.5</v>
      </c>
      <c r="D44" s="2">
        <v>0.5</v>
      </c>
      <c r="E44">
        <f t="shared" si="0"/>
        <v>5.5</v>
      </c>
      <c r="F44">
        <f t="shared" si="1"/>
        <v>9.1666666666666674E-2</v>
      </c>
      <c r="G44">
        <f t="shared" si="2"/>
        <v>16.301636180207389</v>
      </c>
      <c r="H44">
        <f t="shared" si="3"/>
        <v>15.995495668419839</v>
      </c>
      <c r="I44">
        <f t="shared" si="4"/>
        <v>101.91391700597292</v>
      </c>
      <c r="J44">
        <f t="shared" si="5"/>
        <v>0.5095695850298646</v>
      </c>
    </row>
    <row r="45" spans="1:10" x14ac:dyDescent="0.2">
      <c r="A45" s="2">
        <v>0.5</v>
      </c>
      <c r="B45" s="2">
        <v>0.5</v>
      </c>
      <c r="C45" s="2">
        <v>0.5</v>
      </c>
      <c r="D45" s="2">
        <v>0.5</v>
      </c>
      <c r="E45">
        <f t="shared" si="0"/>
        <v>5.666666666666667</v>
      </c>
      <c r="F45">
        <f t="shared" si="1"/>
        <v>9.4444444444444456E-2</v>
      </c>
      <c r="G45">
        <f t="shared" si="2"/>
        <v>16.35519600997079</v>
      </c>
      <c r="H45">
        <f t="shared" si="3"/>
        <v>15.995495668419839</v>
      </c>
      <c r="I45">
        <f t="shared" si="4"/>
        <v>102.24876020729457</v>
      </c>
      <c r="J45">
        <f t="shared" si="5"/>
        <v>0.51124380103647282</v>
      </c>
    </row>
    <row r="46" spans="1:10" x14ac:dyDescent="0.2">
      <c r="A46" s="2">
        <v>0.5</v>
      </c>
      <c r="B46" s="2">
        <v>0.5</v>
      </c>
      <c r="C46" s="2">
        <v>0.5</v>
      </c>
      <c r="D46" s="2">
        <v>0.5</v>
      </c>
      <c r="E46">
        <f t="shared" si="0"/>
        <v>5.8333333333333339</v>
      </c>
      <c r="F46">
        <f t="shared" si="1"/>
        <v>9.7222222222222238E-2</v>
      </c>
      <c r="G46">
        <f t="shared" si="2"/>
        <v>16.403457439237261</v>
      </c>
      <c r="H46">
        <f t="shared" si="3"/>
        <v>15.995495668419839</v>
      </c>
      <c r="I46">
        <f t="shared" si="4"/>
        <v>102.55047908032553</v>
      </c>
      <c r="J46">
        <f t="shared" si="5"/>
        <v>0.51275239540162765</v>
      </c>
    </row>
    <row r="47" spans="1:10" x14ac:dyDescent="0.2">
      <c r="A47" s="2">
        <v>0.5</v>
      </c>
      <c r="B47" s="2">
        <v>0.5</v>
      </c>
      <c r="C47" s="2">
        <v>0.5</v>
      </c>
      <c r="D47" s="2">
        <v>0.5</v>
      </c>
      <c r="E47">
        <f t="shared" si="0"/>
        <v>6.0000000000000009</v>
      </c>
      <c r="F47">
        <f t="shared" si="1"/>
        <v>0.10000000000000002</v>
      </c>
      <c r="G47">
        <f t="shared" si="2"/>
        <v>16.446944611715807</v>
      </c>
      <c r="H47">
        <f t="shared" si="3"/>
        <v>15.995495668419839</v>
      </c>
      <c r="I47">
        <f t="shared" si="4"/>
        <v>102.82235044574</v>
      </c>
      <c r="J47">
        <f t="shared" si="5"/>
        <v>0.51411175222869998</v>
      </c>
    </row>
    <row r="48" spans="1:10" x14ac:dyDescent="0.2">
      <c r="A48" s="2">
        <v>0.5</v>
      </c>
      <c r="B48" s="2">
        <v>0.5</v>
      </c>
      <c r="C48" s="2">
        <v>0.5</v>
      </c>
      <c r="D48" s="2">
        <v>0.5</v>
      </c>
      <c r="E48">
        <f t="shared" si="0"/>
        <v>6.1666666666666679</v>
      </c>
      <c r="F48">
        <f t="shared" si="1"/>
        <v>0.1027777777777778</v>
      </c>
      <c r="G48">
        <f t="shared" si="2"/>
        <v>16.486129820254433</v>
      </c>
      <c r="H48">
        <f t="shared" si="3"/>
        <v>15.995495668419839</v>
      </c>
      <c r="I48">
        <f t="shared" si="4"/>
        <v>103.06732696507343</v>
      </c>
      <c r="J48">
        <f t="shared" si="5"/>
        <v>0.51533663482536718</v>
      </c>
    </row>
    <row r="49" spans="1:10" x14ac:dyDescent="0.2">
      <c r="A49" s="2">
        <v>0.5</v>
      </c>
      <c r="B49" s="2">
        <v>0.5</v>
      </c>
      <c r="C49" s="2">
        <v>0.5</v>
      </c>
      <c r="D49" s="2">
        <v>0.5</v>
      </c>
      <c r="E49">
        <f t="shared" si="0"/>
        <v>6.3333333333333348</v>
      </c>
      <c r="F49">
        <f t="shared" si="1"/>
        <v>0.10555555555555558</v>
      </c>
      <c r="G49">
        <f t="shared" si="2"/>
        <v>16.521438636181085</v>
      </c>
      <c r="H49">
        <f t="shared" si="3"/>
        <v>15.995495668419839</v>
      </c>
      <c r="I49">
        <f t="shared" si="4"/>
        <v>103.28806920813103</v>
      </c>
      <c r="J49">
        <f t="shared" si="5"/>
        <v>0.51644034604065514</v>
      </c>
    </row>
    <row r="50" spans="1:10" x14ac:dyDescent="0.2">
      <c r="A50" s="2">
        <v>0.5</v>
      </c>
      <c r="B50" s="2">
        <v>0.5</v>
      </c>
      <c r="C50" s="2">
        <v>0.5</v>
      </c>
      <c r="D50" s="2">
        <v>0.5</v>
      </c>
      <c r="E50">
        <f t="shared" si="0"/>
        <v>6.5000000000000018</v>
      </c>
      <c r="F50">
        <f t="shared" si="1"/>
        <v>0.10833333333333336</v>
      </c>
      <c r="G50">
        <f t="shared" si="2"/>
        <v>16.553254531225086</v>
      </c>
      <c r="H50">
        <f t="shared" si="3"/>
        <v>15.995495668419839</v>
      </c>
      <c r="I50">
        <f t="shared" si="4"/>
        <v>103.48697454813131</v>
      </c>
      <c r="J50">
        <f t="shared" si="5"/>
        <v>0.51743487274065658</v>
      </c>
    </row>
    <row r="51" spans="1:10" x14ac:dyDescent="0.2">
      <c r="A51" s="2">
        <v>0.5</v>
      </c>
      <c r="B51" s="2">
        <v>0.5</v>
      </c>
      <c r="C51" s="2">
        <v>0.5</v>
      </c>
      <c r="D51" s="2">
        <v>0.5</v>
      </c>
      <c r="E51">
        <f t="shared" si="0"/>
        <v>6.6666666666666687</v>
      </c>
      <c r="F51">
        <f t="shared" si="1"/>
        <v>0.11111111111111115</v>
      </c>
      <c r="G51">
        <f t="shared" si="2"/>
        <v>16.581923042215475</v>
      </c>
      <c r="H51">
        <f t="shared" si="3"/>
        <v>15.995495668419839</v>
      </c>
      <c r="I51">
        <f t="shared" si="4"/>
        <v>103.66620319840058</v>
      </c>
      <c r="J51">
        <f t="shared" si="5"/>
        <v>0.51833101599200293</v>
      </c>
    </row>
    <row r="52" spans="1:10" x14ac:dyDescent="0.2">
      <c r="A52" s="2">
        <v>0.5</v>
      </c>
      <c r="B52" s="2">
        <v>0.5</v>
      </c>
      <c r="C52" s="2">
        <v>0.5</v>
      </c>
      <c r="D52" s="2">
        <v>0.5</v>
      </c>
      <c r="E52">
        <f t="shared" si="0"/>
        <v>6.8333333333333357</v>
      </c>
      <c r="F52">
        <f t="shared" si="1"/>
        <v>0.11388888888888893</v>
      </c>
      <c r="G52">
        <f t="shared" si="2"/>
        <v>16.607755523787013</v>
      </c>
      <c r="H52">
        <f t="shared" si="3"/>
        <v>15.995495668419839</v>
      </c>
      <c r="I52">
        <f t="shared" si="4"/>
        <v>103.82770167339027</v>
      </c>
      <c r="J52">
        <f t="shared" si="5"/>
        <v>0.5191385083669513</v>
      </c>
    </row>
    <row r="53" spans="1:10" x14ac:dyDescent="0.2">
      <c r="A53" s="2">
        <v>0.5</v>
      </c>
      <c r="B53" s="2">
        <v>0.5</v>
      </c>
      <c r="C53" s="2">
        <v>0.5</v>
      </c>
      <c r="D53" s="2">
        <v>0.5</v>
      </c>
      <c r="E53">
        <f t="shared" si="0"/>
        <v>7.0000000000000027</v>
      </c>
      <c r="F53">
        <f t="shared" si="1"/>
        <v>0.11666666666666671</v>
      </c>
      <c r="G53">
        <f t="shared" si="2"/>
        <v>16.631032529850131</v>
      </c>
      <c r="H53">
        <f t="shared" si="3"/>
        <v>15.995495668419839</v>
      </c>
      <c r="I53">
        <f t="shared" si="4"/>
        <v>103.97322392881543</v>
      </c>
      <c r="J53">
        <f t="shared" si="5"/>
        <v>0.51986611964407714</v>
      </c>
    </row>
    <row r="54" spans="1:10" x14ac:dyDescent="0.2">
      <c r="A54" s="2">
        <v>0.5</v>
      </c>
      <c r="B54" s="2">
        <v>0.5</v>
      </c>
      <c r="C54" s="2">
        <v>0.5</v>
      </c>
      <c r="D54" s="2">
        <v>0.5</v>
      </c>
      <c r="E54">
        <f t="shared" si="0"/>
        <v>7.1666666666666696</v>
      </c>
      <c r="F54">
        <f t="shared" si="1"/>
        <v>0.11944444444444449</v>
      </c>
      <c r="G54">
        <f t="shared" si="2"/>
        <v>16.652006860549331</v>
      </c>
      <c r="H54">
        <f t="shared" si="3"/>
        <v>15.995495668419839</v>
      </c>
      <c r="I54">
        <f t="shared" si="4"/>
        <v>104.10435041050745</v>
      </c>
      <c r="J54">
        <f t="shared" si="5"/>
        <v>0.52052175205253726</v>
      </c>
    </row>
    <row r="55" spans="1:10" x14ac:dyDescent="0.2">
      <c r="A55" s="2">
        <v>0.5</v>
      </c>
      <c r="B55" s="2">
        <v>0.5</v>
      </c>
      <c r="C55" s="2">
        <v>0.5</v>
      </c>
      <c r="D55" s="2">
        <v>0.5</v>
      </c>
      <c r="E55">
        <f t="shared" si="0"/>
        <v>7.3333333333333366</v>
      </c>
      <c r="F55">
        <f t="shared" si="1"/>
        <v>0.12222222222222227</v>
      </c>
      <c r="G55">
        <f t="shared" si="2"/>
        <v>16.670906307801545</v>
      </c>
      <c r="H55">
        <f t="shared" si="3"/>
        <v>15.995495668419839</v>
      </c>
      <c r="I55">
        <f t="shared" si="4"/>
        <v>104.22250521886096</v>
      </c>
      <c r="J55">
        <f t="shared" si="5"/>
        <v>0.52111252609430481</v>
      </c>
    </row>
    <row r="56" spans="1:10" x14ac:dyDescent="0.2">
      <c r="A56" s="2">
        <v>0.5</v>
      </c>
      <c r="B56" s="2">
        <v>0.5</v>
      </c>
      <c r="C56" s="2">
        <v>0.5</v>
      </c>
      <c r="D56" s="2">
        <v>0.5</v>
      </c>
      <c r="E56">
        <f t="shared" si="0"/>
        <v>7.5000000000000036</v>
      </c>
      <c r="F56">
        <f t="shared" si="1"/>
        <v>0.12500000000000006</v>
      </c>
      <c r="G56">
        <f t="shared" si="2"/>
        <v>16.687936129232408</v>
      </c>
      <c r="H56">
        <f t="shared" si="3"/>
        <v>15.995495668419839</v>
      </c>
      <c r="I56">
        <f t="shared" si="4"/>
        <v>104.32897157528957</v>
      </c>
      <c r="J56">
        <f t="shared" si="5"/>
        <v>0.52164485787644788</v>
      </c>
    </row>
    <row r="57" spans="1:10" x14ac:dyDescent="0.2">
      <c r="A57" s="2">
        <v>0.5</v>
      </c>
      <c r="B57" s="2">
        <v>0.5</v>
      </c>
      <c r="C57" s="2">
        <v>0.5</v>
      </c>
      <c r="D57" s="2">
        <v>0.5</v>
      </c>
      <c r="E57">
        <f t="shared" si="0"/>
        <v>7.6666666666666696</v>
      </c>
      <c r="F57">
        <f t="shared" si="1"/>
        <v>0.12777777777777782</v>
      </c>
      <c r="G57">
        <f t="shared" si="2"/>
        <v>16.703281277378636</v>
      </c>
      <c r="H57">
        <f t="shared" si="3"/>
        <v>15.995495668419839</v>
      </c>
      <c r="I57">
        <f t="shared" si="4"/>
        <v>104.42490575866424</v>
      </c>
      <c r="J57">
        <f t="shared" si="5"/>
        <v>0.52212452879332116</v>
      </c>
    </row>
    <row r="58" spans="1:10" x14ac:dyDescent="0.2">
      <c r="A58" s="2">
        <v>0.5</v>
      </c>
      <c r="B58" s="2">
        <v>0.5</v>
      </c>
      <c r="C58" s="2">
        <v>0.5</v>
      </c>
      <c r="D58" s="2">
        <v>0.5</v>
      </c>
      <c r="E58">
        <f t="shared" si="0"/>
        <v>7.8333333333333357</v>
      </c>
      <c r="F58">
        <f t="shared" si="1"/>
        <v>0.13055555555555559</v>
      </c>
      <c r="G58">
        <f t="shared" si="2"/>
        <v>16.717108408366808</v>
      </c>
      <c r="H58">
        <f t="shared" si="3"/>
        <v>15.995495668419839</v>
      </c>
      <c r="I58">
        <f t="shared" si="4"/>
        <v>104.51134966309085</v>
      </c>
      <c r="J58">
        <f t="shared" si="5"/>
        <v>0.52255674831545429</v>
      </c>
    </row>
    <row r="59" spans="1:10" x14ac:dyDescent="0.2">
      <c r="A59" s="2">
        <v>0.5</v>
      </c>
      <c r="B59" s="2">
        <v>0.5</v>
      </c>
      <c r="C59" s="2">
        <v>0.5</v>
      </c>
      <c r="D59" s="2">
        <v>0.5</v>
      </c>
      <c r="E59">
        <f t="shared" si="0"/>
        <v>8.0000000000000018</v>
      </c>
      <c r="F59">
        <f t="shared" si="1"/>
        <v>0.13333333333333336</v>
      </c>
      <c r="G59">
        <f t="shared" si="2"/>
        <v>16.729567691883798</v>
      </c>
      <c r="H59">
        <f t="shared" si="3"/>
        <v>15.995495668419839</v>
      </c>
      <c r="I59">
        <f t="shared" si="4"/>
        <v>104.58924211341103</v>
      </c>
      <c r="J59">
        <f t="shared" si="5"/>
        <v>0.52294621056705515</v>
      </c>
    </row>
    <row r="60" spans="1:10" x14ac:dyDescent="0.2">
      <c r="A60" s="2">
        <v>0.5</v>
      </c>
      <c r="B60" s="2">
        <v>0.5</v>
      </c>
      <c r="C60" s="2">
        <v>0.5</v>
      </c>
      <c r="D60" s="2">
        <v>0.5</v>
      </c>
      <c r="E60">
        <f t="shared" si="0"/>
        <v>8.1666666666666679</v>
      </c>
      <c r="F60">
        <f t="shared" si="1"/>
        <v>0.13611111111111113</v>
      </c>
      <c r="G60">
        <f t="shared" si="2"/>
        <v>16.740794442096082</v>
      </c>
      <c r="H60">
        <f t="shared" si="3"/>
        <v>15.995495668419839</v>
      </c>
      <c r="I60">
        <f t="shared" si="4"/>
        <v>104.65942906131818</v>
      </c>
      <c r="J60">
        <f t="shared" si="5"/>
        <v>0.52329714530659088</v>
      </c>
    </row>
    <row r="61" spans="1:10" x14ac:dyDescent="0.2">
      <c r="A61" s="2">
        <v>0.5</v>
      </c>
      <c r="B61" s="2">
        <v>0.5</v>
      </c>
      <c r="C61" s="2">
        <v>0.5</v>
      </c>
      <c r="D61" s="2">
        <v>0.5</v>
      </c>
      <c r="E61">
        <f t="shared" si="0"/>
        <v>8.3333333333333339</v>
      </c>
      <c r="F61">
        <f t="shared" si="1"/>
        <v>0.1388888888888889</v>
      </c>
      <c r="G61">
        <f t="shared" si="2"/>
        <v>16.750910587230521</v>
      </c>
      <c r="H61">
        <f t="shared" si="3"/>
        <v>15.995495668419839</v>
      </c>
      <c r="I61">
        <f t="shared" si="4"/>
        <v>104.72267277282386</v>
      </c>
      <c r="J61">
        <f t="shared" si="5"/>
        <v>0.52361336386411927</v>
      </c>
    </row>
    <row r="62" spans="1:10" x14ac:dyDescent="0.2">
      <c r="A62" s="2">
        <v>0.5</v>
      </c>
      <c r="B62" s="2">
        <v>0.5</v>
      </c>
      <c r="C62" s="2">
        <v>0.5</v>
      </c>
      <c r="D62" s="2">
        <v>0.5</v>
      </c>
      <c r="E62">
        <f t="shared" si="0"/>
        <v>8.5</v>
      </c>
      <c r="F62">
        <f t="shared" si="1"/>
        <v>0.14166666666666666</v>
      </c>
      <c r="G62">
        <f t="shared" si="2"/>
        <v>16.760025993777028</v>
      </c>
      <c r="H62">
        <f t="shared" si="3"/>
        <v>15.995495668419839</v>
      </c>
      <c r="I62">
        <f t="shared" si="4"/>
        <v>104.77966010685505</v>
      </c>
      <c r="J62">
        <f t="shared" si="5"/>
        <v>0.52389830053427522</v>
      </c>
    </row>
    <row r="63" spans="1:10" x14ac:dyDescent="0.2">
      <c r="A63" s="2">
        <v>0.5</v>
      </c>
      <c r="B63" s="2">
        <v>0.5</v>
      </c>
      <c r="C63" s="2">
        <v>0.5</v>
      </c>
      <c r="D63" s="2">
        <v>0.5</v>
      </c>
      <c r="E63">
        <f t="shared" si="0"/>
        <v>8.6666666666666661</v>
      </c>
      <c r="F63">
        <f t="shared" si="1"/>
        <v>0.14444444444444443</v>
      </c>
      <c r="G63">
        <f t="shared" si="2"/>
        <v>16.768239659694615</v>
      </c>
      <c r="H63">
        <f t="shared" si="3"/>
        <v>15.995495668419839</v>
      </c>
      <c r="I63">
        <f t="shared" si="4"/>
        <v>104.83100997489197</v>
      </c>
      <c r="J63">
        <f t="shared" si="5"/>
        <v>0.52415504987445982</v>
      </c>
    </row>
    <row r="64" spans="1:10" x14ac:dyDescent="0.2">
      <c r="A64" s="2">
        <v>0.5</v>
      </c>
      <c r="B64" s="2">
        <v>0.5</v>
      </c>
      <c r="C64" s="2">
        <v>0.5</v>
      </c>
      <c r="D64" s="2">
        <v>0.5</v>
      </c>
      <c r="E64">
        <f t="shared" si="0"/>
        <v>8.8333333333333321</v>
      </c>
      <c r="F64">
        <f t="shared" si="1"/>
        <v>0.1472222222222222</v>
      </c>
      <c r="G64">
        <f t="shared" si="2"/>
        <v>16.775640789579661</v>
      </c>
      <c r="H64">
        <f t="shared" si="3"/>
        <v>15.995495668419839</v>
      </c>
      <c r="I64">
        <f t="shared" si="4"/>
        <v>104.87728006266211</v>
      </c>
      <c r="J64">
        <f t="shared" si="5"/>
        <v>0.52438640031331052</v>
      </c>
    </row>
    <row r="65" spans="1:10" x14ac:dyDescent="0.2">
      <c r="A65" s="2">
        <v>0.5</v>
      </c>
      <c r="B65" s="2">
        <v>0.5</v>
      </c>
      <c r="C65" s="2">
        <v>0.5</v>
      </c>
      <c r="D65" s="2">
        <v>0.5</v>
      </c>
      <c r="E65">
        <f t="shared" si="0"/>
        <v>8.9999999999999982</v>
      </c>
      <c r="F65">
        <f t="shared" si="1"/>
        <v>0.14999999999999997</v>
      </c>
      <c r="G65">
        <f t="shared" si="2"/>
        <v>16.78230976347329</v>
      </c>
      <c r="H65">
        <f t="shared" si="3"/>
        <v>15.995495668419839</v>
      </c>
      <c r="I65">
        <f t="shared" si="4"/>
        <v>104.91897288689134</v>
      </c>
      <c r="J65">
        <f t="shared" si="5"/>
        <v>0.52459486443445669</v>
      </c>
    </row>
    <row r="66" spans="1:10" x14ac:dyDescent="0.2">
      <c r="A66" s="2">
        <v>0.5</v>
      </c>
      <c r="B66" s="2">
        <v>0.5</v>
      </c>
      <c r="C66" s="2">
        <v>0.5</v>
      </c>
      <c r="D66" s="2">
        <v>0.5</v>
      </c>
      <c r="E66">
        <f t="shared" si="0"/>
        <v>9.1666666666666643</v>
      </c>
      <c r="F66">
        <f t="shared" si="1"/>
        <v>0.15277777777777773</v>
      </c>
      <c r="G66">
        <f t="shared" si="2"/>
        <v>16.788319009829543</v>
      </c>
      <c r="H66">
        <f t="shared" si="3"/>
        <v>15.995495668419839</v>
      </c>
      <c r="I66">
        <f t="shared" si="4"/>
        <v>104.95654125289151</v>
      </c>
      <c r="J66">
        <f t="shared" si="5"/>
        <v>0.52478270626445755</v>
      </c>
    </row>
    <row r="67" spans="1:10" x14ac:dyDescent="0.2">
      <c r="A67" s="2">
        <v>0.5</v>
      </c>
      <c r="B67" s="2">
        <v>0.5</v>
      </c>
      <c r="C67" s="2">
        <v>0.5</v>
      </c>
      <c r="D67" s="2">
        <v>0.5</v>
      </c>
      <c r="E67">
        <f t="shared" si="0"/>
        <v>9.3333333333333304</v>
      </c>
      <c r="F67">
        <f t="shared" si="1"/>
        <v>0.1555555555555555</v>
      </c>
      <c r="G67">
        <f t="shared" si="2"/>
        <v>16.793733792125309</v>
      </c>
      <c r="H67">
        <f t="shared" si="3"/>
        <v>15.995495668419839</v>
      </c>
      <c r="I67">
        <f t="shared" si="4"/>
        <v>104.99039317225689</v>
      </c>
      <c r="J67">
        <f t="shared" si="5"/>
        <v>0.52495196586128445</v>
      </c>
    </row>
    <row r="68" spans="1:10" x14ac:dyDescent="0.2">
      <c r="A68" s="2">
        <v>0.5</v>
      </c>
      <c r="B68" s="2">
        <v>0.5</v>
      </c>
      <c r="C68" s="2">
        <v>0.5</v>
      </c>
      <c r="D68" s="2">
        <v>0.5</v>
      </c>
      <c r="E68">
        <f t="shared" si="0"/>
        <v>9.4999999999999964</v>
      </c>
      <c r="F68">
        <f t="shared" si="1"/>
        <v>0.15833333333333327</v>
      </c>
      <c r="G68">
        <f t="shared" si="2"/>
        <v>16.798612917654925</v>
      </c>
      <c r="H68">
        <f t="shared" si="3"/>
        <v>15.995495668419839</v>
      </c>
      <c r="I68">
        <f t="shared" si="4"/>
        <v>105.02089629407791</v>
      </c>
      <c r="J68">
        <f t="shared" si="5"/>
        <v>0.52510448147038957</v>
      </c>
    </row>
    <row r="69" spans="1:10" x14ac:dyDescent="0.2">
      <c r="A69" s="2">
        <v>0.5</v>
      </c>
      <c r="B69" s="2">
        <v>0.5</v>
      </c>
      <c r="C69" s="2">
        <v>0.5</v>
      </c>
      <c r="D69" s="2">
        <v>0.5</v>
      </c>
      <c r="E69">
        <f t="shared" si="0"/>
        <v>9.6666666666666625</v>
      </c>
      <c r="F69">
        <f t="shared" si="1"/>
        <v>0.16111111111111104</v>
      </c>
      <c r="G69">
        <f t="shared" si="2"/>
        <v>16.803009376207349</v>
      </c>
      <c r="H69">
        <f t="shared" si="3"/>
        <v>15.995495668419839</v>
      </c>
      <c r="I69">
        <f t="shared" si="4"/>
        <v>105.04838189779761</v>
      </c>
      <c r="J69">
        <f t="shared" si="5"/>
        <v>0.52524190948898808</v>
      </c>
    </row>
    <row r="70" spans="1:10" x14ac:dyDescent="0.2">
      <c r="A70" s="2">
        <v>0.5</v>
      </c>
      <c r="B70" s="2">
        <v>0.5</v>
      </c>
      <c r="C70" s="2">
        <v>0.5</v>
      </c>
      <c r="D70" s="2">
        <v>0.5</v>
      </c>
      <c r="E70">
        <f t="shared" si="0"/>
        <v>9.8333333333333286</v>
      </c>
      <c r="F70">
        <f t="shared" si="1"/>
        <v>0.16388888888888881</v>
      </c>
      <c r="G70">
        <f t="shared" si="2"/>
        <v>16.806970915562275</v>
      </c>
      <c r="H70">
        <f t="shared" si="3"/>
        <v>15.995495668419839</v>
      </c>
      <c r="I70">
        <f t="shared" si="4"/>
        <v>105.07314849107519</v>
      </c>
      <c r="J70">
        <f t="shared" si="5"/>
        <v>0.52536574245537593</v>
      </c>
    </row>
    <row r="71" spans="1:10" x14ac:dyDescent="0.2">
      <c r="A71" s="2">
        <v>1</v>
      </c>
      <c r="B71" s="2">
        <v>1</v>
      </c>
      <c r="C71" s="2">
        <v>1</v>
      </c>
      <c r="D71" s="2">
        <v>1</v>
      </c>
      <c r="E71">
        <f t="shared" si="0"/>
        <v>9.9999999999999947</v>
      </c>
      <c r="F71">
        <f t="shared" si="1"/>
        <v>0.16666666666666657</v>
      </c>
      <c r="G71">
        <f t="shared" si="2"/>
        <v>18.476738025515733</v>
      </c>
      <c r="H71">
        <f t="shared" si="3"/>
        <v>31.990991336839677</v>
      </c>
      <c r="I71">
        <f t="shared" si="4"/>
        <v>57.756065859198877</v>
      </c>
      <c r="J71">
        <f t="shared" si="5"/>
        <v>0.5775606585919888</v>
      </c>
    </row>
    <row r="72" spans="1:10" x14ac:dyDescent="0.2">
      <c r="A72" s="2">
        <v>1</v>
      </c>
      <c r="B72" s="2">
        <v>1</v>
      </c>
      <c r="C72" s="2">
        <v>1</v>
      </c>
      <c r="D72" s="2">
        <v>1</v>
      </c>
      <c r="E72">
        <f t="shared" si="0"/>
        <v>10.166666666666661</v>
      </c>
      <c r="F72">
        <f t="shared" si="1"/>
        <v>0.16944444444444434</v>
      </c>
      <c r="G72">
        <f t="shared" si="2"/>
        <v>19.981323600646977</v>
      </c>
      <c r="H72">
        <f t="shared" si="3"/>
        <v>31.990991336839677</v>
      </c>
      <c r="I72">
        <f t="shared" si="4"/>
        <v>62.45921981679011</v>
      </c>
      <c r="J72">
        <f t="shared" si="5"/>
        <v>0.62459219816790112</v>
      </c>
    </row>
    <row r="73" spans="1:10" x14ac:dyDescent="0.2">
      <c r="A73" s="2">
        <v>1</v>
      </c>
      <c r="B73" s="2">
        <v>1</v>
      </c>
      <c r="C73" s="2">
        <v>1</v>
      </c>
      <c r="D73" s="2">
        <v>1</v>
      </c>
      <c r="E73">
        <f t="shared" si="0"/>
        <v>10.333333333333327</v>
      </c>
      <c r="F73">
        <f t="shared" si="1"/>
        <v>0.17222222222222211</v>
      </c>
      <c r="G73">
        <f t="shared" si="2"/>
        <v>21.337068206825091</v>
      </c>
      <c r="H73">
        <f t="shared" si="3"/>
        <v>31.990991336839677</v>
      </c>
      <c r="I73">
        <f t="shared" si="4"/>
        <v>66.69711476635014</v>
      </c>
      <c r="J73">
        <f t="shared" si="5"/>
        <v>0.66697114766350141</v>
      </c>
    </row>
    <row r="74" spans="1:10" x14ac:dyDescent="0.2">
      <c r="A74" s="2">
        <v>1</v>
      </c>
      <c r="B74" s="2">
        <v>1</v>
      </c>
      <c r="C74" s="2">
        <v>1</v>
      </c>
      <c r="D74" s="2">
        <v>1</v>
      </c>
      <c r="E74">
        <f t="shared" si="0"/>
        <v>10.499999999999993</v>
      </c>
      <c r="F74">
        <f t="shared" si="1"/>
        <v>0.17499999999999988</v>
      </c>
      <c r="G74">
        <f t="shared" si="2"/>
        <v>22.558695921168106</v>
      </c>
      <c r="H74">
        <f t="shared" si="3"/>
        <v>31.990991336839677</v>
      </c>
      <c r="I74">
        <f t="shared" si="4"/>
        <v>70.515776406060667</v>
      </c>
      <c r="J74">
        <f t="shared" si="5"/>
        <v>0.70515776406060671</v>
      </c>
    </row>
    <row r="75" spans="1:10" x14ac:dyDescent="0.2">
      <c r="A75" s="2">
        <v>1</v>
      </c>
      <c r="B75" s="2">
        <v>1</v>
      </c>
      <c r="C75" s="2">
        <v>1</v>
      </c>
      <c r="D75" s="2">
        <v>1</v>
      </c>
      <c r="E75">
        <f t="shared" si="0"/>
        <v>10.666666666666659</v>
      </c>
      <c r="F75">
        <f t="shared" si="1"/>
        <v>0.17777777777777765</v>
      </c>
      <c r="G75">
        <f t="shared" si="2"/>
        <v>23.659474243021798</v>
      </c>
      <c r="H75">
        <f t="shared" si="3"/>
        <v>31.990991336839677</v>
      </c>
      <c r="I75">
        <f t="shared" si="4"/>
        <v>73.956677346776672</v>
      </c>
      <c r="J75">
        <f t="shared" si="5"/>
        <v>0.73956677346776667</v>
      </c>
    </row>
    <row r="76" spans="1:10" x14ac:dyDescent="0.2">
      <c r="A76" s="2">
        <v>1</v>
      </c>
      <c r="B76" s="2">
        <v>1</v>
      </c>
      <c r="C76" s="2">
        <v>1</v>
      </c>
      <c r="D76" s="2">
        <v>1</v>
      </c>
      <c r="E76">
        <f t="shared" ref="E76:E139" si="6">F76*60</f>
        <v>10.833333333333325</v>
      </c>
      <c r="F76">
        <f t="shared" ref="F76:F139" si="7">Tsamp+F75</f>
        <v>0.18055555555555541</v>
      </c>
      <c r="G76">
        <f t="shared" ref="G76:G139" si="8">Tsamp*$D76*G$3/G$5+G$8*G75</f>
        <v>24.651358185761815</v>
      </c>
      <c r="H76">
        <f t="shared" ref="H76:H139" si="9">$D76*$G$3/$G$6</f>
        <v>31.990991336839677</v>
      </c>
      <c r="I76">
        <f t="shared" ref="I76:I139" si="10">G76/H76*100</f>
        <v>77.057187525708827</v>
      </c>
      <c r="J76">
        <f t="shared" si="5"/>
        <v>0.77057187525708826</v>
      </c>
    </row>
    <row r="77" spans="1:10" x14ac:dyDescent="0.2">
      <c r="A77" s="2">
        <v>1</v>
      </c>
      <c r="B77" s="2">
        <v>1</v>
      </c>
      <c r="C77" s="2">
        <v>1</v>
      </c>
      <c r="D77" s="2">
        <v>1</v>
      </c>
      <c r="E77">
        <f t="shared" si="6"/>
        <v>10.999999999999991</v>
      </c>
      <c r="F77">
        <f t="shared" si="7"/>
        <v>0.18333333333333318</v>
      </c>
      <c r="G77">
        <f t="shared" si="8"/>
        <v>25.545120114329528</v>
      </c>
      <c r="H77">
        <f t="shared" si="9"/>
        <v>31.990991336839677</v>
      </c>
      <c r="I77">
        <f t="shared" si="10"/>
        <v>79.850980062980057</v>
      </c>
      <c r="J77">
        <f t="shared" ref="J77:J140" si="11">($I77/100)*$D77</f>
        <v>0.79850980062980059</v>
      </c>
    </row>
    <row r="78" spans="1:10" x14ac:dyDescent="0.2">
      <c r="A78" s="2">
        <v>1</v>
      </c>
      <c r="B78" s="2">
        <v>1</v>
      </c>
      <c r="C78" s="2">
        <v>1</v>
      </c>
      <c r="D78" s="2">
        <v>1</v>
      </c>
      <c r="E78">
        <f t="shared" si="6"/>
        <v>11.166666666666657</v>
      </c>
      <c r="F78">
        <f t="shared" si="7"/>
        <v>0.18611111111111095</v>
      </c>
      <c r="G78">
        <f t="shared" si="8"/>
        <v>26.350466738603345</v>
      </c>
      <c r="H78">
        <f t="shared" si="9"/>
        <v>31.990991336839677</v>
      </c>
      <c r="I78">
        <f t="shared" si="10"/>
        <v>82.368396968865085</v>
      </c>
      <c r="J78">
        <f t="shared" si="11"/>
        <v>0.82368396968865087</v>
      </c>
    </row>
    <row r="79" spans="1:10" x14ac:dyDescent="0.2">
      <c r="A79" s="2">
        <v>1</v>
      </c>
      <c r="B79" s="2">
        <v>1</v>
      </c>
      <c r="C79" s="2">
        <v>1</v>
      </c>
      <c r="D79" s="2">
        <v>1</v>
      </c>
      <c r="E79">
        <f t="shared" si="6"/>
        <v>11.333333333333323</v>
      </c>
      <c r="F79">
        <f t="shared" si="7"/>
        <v>0.18888888888888872</v>
      </c>
      <c r="G79">
        <f t="shared" si="8"/>
        <v>27.07614453321316</v>
      </c>
      <c r="H79">
        <f t="shared" si="9"/>
        <v>31.990991336839677</v>
      </c>
      <c r="I79">
        <f t="shared" si="10"/>
        <v>84.636778673480009</v>
      </c>
      <c r="J79">
        <f t="shared" si="11"/>
        <v>0.84636778673480006</v>
      </c>
    </row>
    <row r="80" spans="1:10" x14ac:dyDescent="0.2">
      <c r="A80" s="2">
        <v>1</v>
      </c>
      <c r="B80" s="2">
        <v>1</v>
      </c>
      <c r="C80" s="2">
        <v>1</v>
      </c>
      <c r="D80" s="2">
        <v>1</v>
      </c>
      <c r="E80">
        <f t="shared" si="6"/>
        <v>11.499999999999989</v>
      </c>
      <c r="F80">
        <f t="shared" si="7"/>
        <v>0.19166666666666649</v>
      </c>
      <c r="G80">
        <f t="shared" si="8"/>
        <v>27.730034728710791</v>
      </c>
      <c r="H80">
        <f t="shared" si="9"/>
        <v>31.990991336839677</v>
      </c>
      <c r="I80">
        <f t="shared" si="10"/>
        <v>86.680760957782127</v>
      </c>
      <c r="J80">
        <f t="shared" si="11"/>
        <v>0.86680760957782121</v>
      </c>
    </row>
    <row r="81" spans="1:10" x14ac:dyDescent="0.2">
      <c r="A81" s="2">
        <v>1</v>
      </c>
      <c r="B81" s="2">
        <v>1</v>
      </c>
      <c r="C81" s="2">
        <v>1</v>
      </c>
      <c r="D81" s="2">
        <v>1</v>
      </c>
      <c r="E81">
        <f t="shared" si="6"/>
        <v>11.666666666666655</v>
      </c>
      <c r="F81">
        <f t="shared" si="7"/>
        <v>0.19444444444444425</v>
      </c>
      <c r="G81">
        <f t="shared" si="8"/>
        <v>28.319238905748936</v>
      </c>
      <c r="H81">
        <f t="shared" si="9"/>
        <v>31.990991336839677</v>
      </c>
      <c r="I81">
        <f t="shared" si="10"/>
        <v>88.522542510702124</v>
      </c>
      <c r="J81">
        <f t="shared" si="11"/>
        <v>0.88522542510702129</v>
      </c>
    </row>
    <row r="82" spans="1:10" x14ac:dyDescent="0.2">
      <c r="A82" s="2">
        <v>1</v>
      </c>
      <c r="B82" s="2">
        <v>1</v>
      </c>
      <c r="C82" s="2">
        <v>1</v>
      </c>
      <c r="D82" s="2">
        <v>1</v>
      </c>
      <c r="E82">
        <f t="shared" si="6"/>
        <v>11.833333333333321</v>
      </c>
      <c r="F82">
        <f t="shared" si="7"/>
        <v>0.19722222222222202</v>
      </c>
      <c r="G82">
        <f t="shared" si="8"/>
        <v>28.850156121865005</v>
      </c>
      <c r="H82">
        <f t="shared" si="9"/>
        <v>31.990991336839677</v>
      </c>
      <c r="I82">
        <f t="shared" si="10"/>
        <v>90.182126018215016</v>
      </c>
      <c r="J82">
        <f t="shared" si="11"/>
        <v>0.90182126018215014</v>
      </c>
    </row>
    <row r="83" spans="1:10" x14ac:dyDescent="0.2">
      <c r="A83" s="2">
        <v>1</v>
      </c>
      <c r="B83" s="2">
        <v>1</v>
      </c>
      <c r="C83" s="2">
        <v>1</v>
      </c>
      <c r="D83" s="2">
        <v>1</v>
      </c>
      <c r="E83">
        <f t="shared" si="6"/>
        <v>11.999999999999988</v>
      </c>
      <c r="F83">
        <f t="shared" si="7"/>
        <v>0.19999999999999979</v>
      </c>
      <c r="G83">
        <f t="shared" si="8"/>
        <v>29.328552408506049</v>
      </c>
      <c r="H83">
        <f t="shared" si="9"/>
        <v>31.990991336839677</v>
      </c>
      <c r="I83">
        <f t="shared" si="10"/>
        <v>91.677535402700514</v>
      </c>
      <c r="J83">
        <f t="shared" si="11"/>
        <v>0.91677535402700516</v>
      </c>
    </row>
    <row r="84" spans="1:10" x14ac:dyDescent="0.2">
      <c r="A84" s="2">
        <v>1</v>
      </c>
      <c r="B84" s="2">
        <v>1</v>
      </c>
      <c r="C84" s="2">
        <v>1</v>
      </c>
      <c r="D84" s="2">
        <v>1</v>
      </c>
      <c r="E84">
        <f t="shared" si="6"/>
        <v>12.166666666666654</v>
      </c>
      <c r="F84">
        <f t="shared" si="7"/>
        <v>0.20277777777777756</v>
      </c>
      <c r="G84">
        <f t="shared" si="8"/>
        <v>29.759623393067798</v>
      </c>
      <c r="H84">
        <f t="shared" si="9"/>
        <v>31.990991336839677</v>
      </c>
      <c r="I84">
        <f t="shared" si="10"/>
        <v>93.025011571922391</v>
      </c>
      <c r="J84">
        <f t="shared" si="11"/>
        <v>0.93025011571922389</v>
      </c>
    </row>
    <row r="85" spans="1:10" x14ac:dyDescent="0.2">
      <c r="A85" s="2">
        <v>1</v>
      </c>
      <c r="B85" s="2">
        <v>1</v>
      </c>
      <c r="C85" s="2">
        <v>1</v>
      </c>
      <c r="D85" s="2">
        <v>1</v>
      </c>
      <c r="E85">
        <f t="shared" si="6"/>
        <v>12.33333333333332</v>
      </c>
      <c r="F85">
        <f t="shared" si="7"/>
        <v>0.20555555555555532</v>
      </c>
      <c r="G85">
        <f t="shared" si="8"/>
        <v>30.148050726055157</v>
      </c>
      <c r="H85">
        <f t="shared" si="9"/>
        <v>31.990991336839677</v>
      </c>
      <c r="I85">
        <f t="shared" si="10"/>
        <v>94.239188803560907</v>
      </c>
      <c r="J85">
        <f t="shared" si="11"/>
        <v>0.94239188803560903</v>
      </c>
    </row>
    <row r="86" spans="1:10" x14ac:dyDescent="0.2">
      <c r="A86" s="2">
        <v>1</v>
      </c>
      <c r="B86" s="2">
        <v>1</v>
      </c>
      <c r="C86" s="2">
        <v>1</v>
      </c>
      <c r="D86" s="2">
        <v>1</v>
      </c>
      <c r="E86">
        <f t="shared" si="6"/>
        <v>12.499999999999986</v>
      </c>
      <c r="F86">
        <f t="shared" si="7"/>
        <v>0.20833333333333309</v>
      </c>
      <c r="G86">
        <f t="shared" si="8"/>
        <v>30.498052926191779</v>
      </c>
      <c r="H86">
        <f t="shared" si="9"/>
        <v>31.990991336839677</v>
      </c>
      <c r="I86">
        <f t="shared" si="10"/>
        <v>95.333253680923974</v>
      </c>
      <c r="J86">
        <f t="shared" si="11"/>
        <v>0.95333253680923979</v>
      </c>
    </row>
    <row r="87" spans="1:10" x14ac:dyDescent="0.2">
      <c r="A87" s="2">
        <v>1</v>
      </c>
      <c r="B87" s="2">
        <v>1</v>
      </c>
      <c r="C87" s="2">
        <v>1</v>
      </c>
      <c r="D87" s="2">
        <v>1</v>
      </c>
      <c r="E87">
        <f t="shared" si="6"/>
        <v>12.666666666666652</v>
      </c>
      <c r="F87">
        <f t="shared" si="7"/>
        <v>0.21111111111111086</v>
      </c>
      <c r="G87">
        <f t="shared" si="8"/>
        <v>30.813431195682572</v>
      </c>
      <c r="H87">
        <f t="shared" si="9"/>
        <v>31.990991336839677</v>
      </c>
      <c r="I87">
        <f t="shared" si="10"/>
        <v>96.319088305959838</v>
      </c>
      <c r="J87">
        <f t="shared" si="11"/>
        <v>0.96319088305959832</v>
      </c>
    </row>
    <row r="88" spans="1:10" x14ac:dyDescent="0.2">
      <c r="A88" s="2">
        <v>1</v>
      </c>
      <c r="B88" s="2">
        <v>1</v>
      </c>
      <c r="C88" s="2">
        <v>1</v>
      </c>
      <c r="D88" s="2">
        <v>1</v>
      </c>
      <c r="E88">
        <f t="shared" si="6"/>
        <v>12.833333333333318</v>
      </c>
      <c r="F88">
        <f t="shared" si="7"/>
        <v>0.21388888888888863</v>
      </c>
      <c r="G88">
        <f t="shared" si="8"/>
        <v>31.097610703206186</v>
      </c>
      <c r="H88">
        <f t="shared" si="9"/>
        <v>31.990991336839677</v>
      </c>
      <c r="I88">
        <f t="shared" si="10"/>
        <v>97.207399344937755</v>
      </c>
      <c r="J88">
        <f t="shared" si="11"/>
        <v>0.9720739934493775</v>
      </c>
    </row>
    <row r="89" spans="1:10" x14ac:dyDescent="0.2">
      <c r="A89" s="2">
        <v>1</v>
      </c>
      <c r="B89" s="2">
        <v>1</v>
      </c>
      <c r="C89" s="2">
        <v>1</v>
      </c>
      <c r="D89" s="2">
        <v>1</v>
      </c>
      <c r="E89">
        <f t="shared" si="6"/>
        <v>12.999999999999984</v>
      </c>
      <c r="F89">
        <f t="shared" si="7"/>
        <v>0.2166666666666664</v>
      </c>
      <c r="G89">
        <f t="shared" si="8"/>
        <v>31.353677782991852</v>
      </c>
      <c r="H89">
        <f t="shared" si="9"/>
        <v>31.990991336839677</v>
      </c>
      <c r="I89">
        <f t="shared" si="10"/>
        <v>98.007834308298172</v>
      </c>
      <c r="J89">
        <f t="shared" si="11"/>
        <v>0.9800783430829817</v>
      </c>
    </row>
    <row r="90" spans="1:10" x14ac:dyDescent="0.2">
      <c r="A90" s="2">
        <v>2</v>
      </c>
      <c r="B90" s="2">
        <v>1</v>
      </c>
      <c r="C90" s="2">
        <v>1</v>
      </c>
      <c r="D90" s="2">
        <v>1</v>
      </c>
      <c r="E90">
        <f t="shared" si="6"/>
        <v>13.16666666666665</v>
      </c>
      <c r="F90">
        <f t="shared" si="7"/>
        <v>0.21944444444444416</v>
      </c>
      <c r="G90">
        <f t="shared" si="8"/>
        <v>31.584413453981462</v>
      </c>
      <c r="H90">
        <f t="shared" si="9"/>
        <v>31.990991336839677</v>
      </c>
      <c r="I90">
        <f t="shared" si="10"/>
        <v>98.729086327531164</v>
      </c>
      <c r="J90">
        <f t="shared" si="11"/>
        <v>0.98729086327531168</v>
      </c>
    </row>
    <row r="91" spans="1:10" x14ac:dyDescent="0.2">
      <c r="A91" s="2">
        <v>2</v>
      </c>
      <c r="B91" s="2">
        <v>1</v>
      </c>
      <c r="C91" s="2">
        <v>1</v>
      </c>
      <c r="D91" s="2">
        <v>1</v>
      </c>
      <c r="E91">
        <f t="shared" si="6"/>
        <v>13.333333333333316</v>
      </c>
      <c r="F91">
        <f t="shared" si="7"/>
        <v>0.22222222222222193</v>
      </c>
      <c r="G91">
        <f t="shared" si="8"/>
        <v>31.792323623112097</v>
      </c>
      <c r="H91">
        <f t="shared" si="9"/>
        <v>31.990991336839677</v>
      </c>
      <c r="I91">
        <f t="shared" si="10"/>
        <v>99.378988567013238</v>
      </c>
      <c r="J91">
        <f t="shared" si="11"/>
        <v>0.99378988567013238</v>
      </c>
    </row>
    <row r="92" spans="1:10" x14ac:dyDescent="0.2">
      <c r="A92" s="2">
        <v>2</v>
      </c>
      <c r="B92" s="2">
        <v>1</v>
      </c>
      <c r="C92" s="2">
        <v>1</v>
      </c>
      <c r="D92" s="2">
        <v>1</v>
      </c>
      <c r="E92">
        <f t="shared" si="6"/>
        <v>13.499999999999982</v>
      </c>
      <c r="F92">
        <f t="shared" si="7"/>
        <v>0.2249999999999997</v>
      </c>
      <c r="G92">
        <f t="shared" si="8"/>
        <v>31.979666300742014</v>
      </c>
      <c r="H92">
        <f t="shared" si="9"/>
        <v>31.990991336839677</v>
      </c>
      <c r="I92">
        <f t="shared" si="10"/>
        <v>99.964599296163044</v>
      </c>
      <c r="J92">
        <f t="shared" si="11"/>
        <v>0.99964599296163048</v>
      </c>
    </row>
    <row r="93" spans="1:10" x14ac:dyDescent="0.2">
      <c r="A93" s="2">
        <v>2</v>
      </c>
      <c r="B93" s="2">
        <v>1</v>
      </c>
      <c r="C93" s="2">
        <v>1</v>
      </c>
      <c r="D93" s="2">
        <v>1</v>
      </c>
      <c r="E93">
        <f t="shared" si="6"/>
        <v>13.666666666666648</v>
      </c>
      <c r="F93">
        <f t="shared" si="7"/>
        <v>0.22777777777777747</v>
      </c>
      <c r="G93">
        <f t="shared" si="8"/>
        <v>32.148476123793507</v>
      </c>
      <c r="H93">
        <f t="shared" si="9"/>
        <v>31.990991336839677</v>
      </c>
      <c r="I93">
        <f t="shared" si="10"/>
        <v>100.49227854584323</v>
      </c>
      <c r="J93">
        <f t="shared" si="11"/>
        <v>1.0049227854584324</v>
      </c>
    </row>
    <row r="94" spans="1:10" x14ac:dyDescent="0.2">
      <c r="A94" s="2">
        <v>2</v>
      </c>
      <c r="B94" s="2">
        <v>1</v>
      </c>
      <c r="C94" s="2">
        <v>1</v>
      </c>
      <c r="D94" s="2">
        <v>1</v>
      </c>
      <c r="E94">
        <f t="shared" si="6"/>
        <v>13.833333333333314</v>
      </c>
      <c r="F94">
        <f t="shared" si="7"/>
        <v>0.23055555555555524</v>
      </c>
      <c r="G94">
        <f t="shared" si="8"/>
        <v>32.300586452946419</v>
      </c>
      <c r="H94">
        <f t="shared" si="9"/>
        <v>31.990991336839677</v>
      </c>
      <c r="I94">
        <f t="shared" si="10"/>
        <v>100.96775718153575</v>
      </c>
      <c r="J94">
        <f t="shared" si="11"/>
        <v>1.0096775718153574</v>
      </c>
    </row>
    <row r="95" spans="1:10" x14ac:dyDescent="0.2">
      <c r="A95" s="2">
        <v>2</v>
      </c>
      <c r="B95" s="2">
        <v>1</v>
      </c>
      <c r="C95" s="2">
        <v>1</v>
      </c>
      <c r="D95" s="2">
        <v>1</v>
      </c>
      <c r="E95">
        <f t="shared" si="6"/>
        <v>13.99999999999998</v>
      </c>
      <c r="F95">
        <f t="shared" si="7"/>
        <v>0.233333333333333</v>
      </c>
      <c r="G95">
        <f t="shared" si="8"/>
        <v>32.437649283869185</v>
      </c>
      <c r="H95">
        <f t="shared" si="9"/>
        <v>31.990991336839677</v>
      </c>
      <c r="I95">
        <f t="shared" si="10"/>
        <v>101.39619914346059</v>
      </c>
      <c r="J95">
        <f t="shared" si="11"/>
        <v>1.0139619914346059</v>
      </c>
    </row>
    <row r="96" spans="1:10" x14ac:dyDescent="0.2">
      <c r="A96" s="2">
        <v>2</v>
      </c>
      <c r="B96" s="2">
        <v>1</v>
      </c>
      <c r="C96" s="2">
        <v>1</v>
      </c>
      <c r="D96" s="2">
        <v>1</v>
      </c>
      <c r="E96">
        <f t="shared" si="6"/>
        <v>14.166666666666647</v>
      </c>
      <c r="F96">
        <f t="shared" si="7"/>
        <v>0.23611111111111077</v>
      </c>
      <c r="G96">
        <f t="shared" si="8"/>
        <v>32.561153188733371</v>
      </c>
      <c r="H96">
        <f t="shared" si="9"/>
        <v>31.990991336839677</v>
      </c>
      <c r="I96">
        <f t="shared" si="10"/>
        <v>101.78225752959744</v>
      </c>
      <c r="J96">
        <f t="shared" si="11"/>
        <v>1.0178225752959744</v>
      </c>
    </row>
    <row r="97" spans="1:10" x14ac:dyDescent="0.2">
      <c r="A97" s="2">
        <v>2</v>
      </c>
      <c r="B97" s="2">
        <v>1</v>
      </c>
      <c r="C97" s="2">
        <v>1</v>
      </c>
      <c r="D97" s="2">
        <v>1</v>
      </c>
      <c r="E97">
        <f t="shared" si="6"/>
        <v>14.333333333333313</v>
      </c>
      <c r="F97">
        <f t="shared" si="7"/>
        <v>0.23888888888888854</v>
      </c>
      <c r="G97">
        <f t="shared" si="8"/>
        <v>32.672439482865862</v>
      </c>
      <c r="H97">
        <f t="shared" si="9"/>
        <v>31.990991336839677</v>
      </c>
      <c r="I97">
        <f t="shared" si="10"/>
        <v>102.13012513070032</v>
      </c>
      <c r="J97">
        <f t="shared" si="11"/>
        <v>1.0213012513070032</v>
      </c>
    </row>
    <row r="98" spans="1:10" x14ac:dyDescent="0.2">
      <c r="A98" s="2">
        <v>2</v>
      </c>
      <c r="B98" s="2">
        <v>1</v>
      </c>
      <c r="C98" s="2">
        <v>1</v>
      </c>
      <c r="D98" s="2">
        <v>1</v>
      </c>
      <c r="E98">
        <f t="shared" si="6"/>
        <v>14.499999999999979</v>
      </c>
      <c r="F98">
        <f t="shared" si="7"/>
        <v>0.24166666666666631</v>
      </c>
      <c r="G98">
        <f t="shared" si="8"/>
        <v>32.772716792116626</v>
      </c>
      <c r="H98">
        <f t="shared" si="9"/>
        <v>31.990991336839677</v>
      </c>
      <c r="I98">
        <f t="shared" si="10"/>
        <v>102.4435799661411</v>
      </c>
      <c r="J98">
        <f t="shared" si="11"/>
        <v>1.0244357996614111</v>
      </c>
    </row>
    <row r="99" spans="1:10" x14ac:dyDescent="0.2">
      <c r="A99" s="2">
        <v>2</v>
      </c>
      <c r="B99" s="2">
        <v>1</v>
      </c>
      <c r="C99" s="2">
        <v>1</v>
      </c>
      <c r="D99" s="2">
        <v>1</v>
      </c>
      <c r="E99">
        <f t="shared" si="6"/>
        <v>14.666666666666645</v>
      </c>
      <c r="F99">
        <f t="shared" si="7"/>
        <v>0.24444444444444408</v>
      </c>
      <c r="G99">
        <f t="shared" si="8"/>
        <v>32.863074179151205</v>
      </c>
      <c r="H99">
        <f t="shared" si="9"/>
        <v>31.990991336839677</v>
      </c>
      <c r="I99">
        <f t="shared" si="10"/>
        <v>102.72602631512476</v>
      </c>
      <c r="J99">
        <f t="shared" si="11"/>
        <v>1.0272602631512475</v>
      </c>
    </row>
    <row r="100" spans="1:10" x14ac:dyDescent="0.2">
      <c r="A100" s="2">
        <v>2</v>
      </c>
      <c r="B100" s="2">
        <v>1</v>
      </c>
      <c r="C100" s="2">
        <v>1</v>
      </c>
      <c r="D100" s="2">
        <v>1</v>
      </c>
      <c r="E100">
        <f t="shared" si="6"/>
        <v>14.833333333333311</v>
      </c>
      <c r="F100">
        <f t="shared" si="7"/>
        <v>0.24722222222222184</v>
      </c>
      <c r="G100">
        <f t="shared" si="8"/>
        <v>32.94449297122609</v>
      </c>
      <c r="H100">
        <f t="shared" si="9"/>
        <v>31.990991336839677</v>
      </c>
      <c r="I100">
        <f t="shared" si="10"/>
        <v>102.98053168889578</v>
      </c>
      <c r="J100">
        <f t="shared" si="11"/>
        <v>1.0298053168889578</v>
      </c>
    </row>
    <row r="101" spans="1:10" x14ac:dyDescent="0.2">
      <c r="A101" s="2">
        <v>2</v>
      </c>
      <c r="B101" s="2">
        <v>2</v>
      </c>
      <c r="C101" s="2">
        <v>1</v>
      </c>
      <c r="D101" s="2">
        <v>1</v>
      </c>
      <c r="E101">
        <f t="shared" si="6"/>
        <v>14.999999999999977</v>
      </c>
      <c r="F101">
        <f t="shared" si="7"/>
        <v>0.24999999999999961</v>
      </c>
      <c r="G101">
        <f t="shared" si="8"/>
        <v>33.017857417902661</v>
      </c>
      <c r="H101">
        <f t="shared" si="9"/>
        <v>31.990991336839677</v>
      </c>
      <c r="I101">
        <f t="shared" si="10"/>
        <v>103.20986014547316</v>
      </c>
      <c r="J101">
        <f t="shared" si="11"/>
        <v>1.0320986014547315</v>
      </c>
    </row>
    <row r="102" spans="1:10" x14ac:dyDescent="0.2">
      <c r="A102" s="2">
        <v>2</v>
      </c>
      <c r="B102" s="2">
        <v>2</v>
      </c>
      <c r="C102" s="2">
        <v>1</v>
      </c>
      <c r="D102" s="2">
        <v>1</v>
      </c>
      <c r="E102">
        <f t="shared" si="6"/>
        <v>15.166666666666643</v>
      </c>
      <c r="F102">
        <f t="shared" si="7"/>
        <v>0.25277777777777738</v>
      </c>
      <c r="G102">
        <f t="shared" si="8"/>
        <v>33.083964294447938</v>
      </c>
      <c r="H102">
        <f t="shared" si="9"/>
        <v>31.990991336839677</v>
      </c>
      <c r="I102">
        <f t="shared" si="10"/>
        <v>103.4165023087285</v>
      </c>
      <c r="J102">
        <f t="shared" si="11"/>
        <v>1.034165023087285</v>
      </c>
    </row>
    <row r="103" spans="1:10" x14ac:dyDescent="0.2">
      <c r="A103" s="2">
        <v>2</v>
      </c>
      <c r="B103" s="2">
        <v>2</v>
      </c>
      <c r="C103" s="2">
        <v>1</v>
      </c>
      <c r="D103" s="2">
        <v>1</v>
      </c>
      <c r="E103">
        <f t="shared" si="6"/>
        <v>15.333333333333309</v>
      </c>
      <c r="F103">
        <f t="shared" si="7"/>
        <v>0.25555555555555515</v>
      </c>
      <c r="G103">
        <f t="shared" si="8"/>
        <v>33.14353155521988</v>
      </c>
      <c r="H103">
        <f t="shared" si="9"/>
        <v>31.990991336839677</v>
      </c>
      <c r="I103">
        <f t="shared" si="10"/>
        <v>103.6027024178303</v>
      </c>
      <c r="J103">
        <f t="shared" si="11"/>
        <v>1.0360270241783029</v>
      </c>
    </row>
    <row r="104" spans="1:10" x14ac:dyDescent="0.2">
      <c r="A104" s="2">
        <v>2</v>
      </c>
      <c r="B104" s="2">
        <v>2</v>
      </c>
      <c r="C104" s="2">
        <v>1</v>
      </c>
      <c r="D104" s="2">
        <v>1</v>
      </c>
      <c r="E104">
        <f t="shared" si="6"/>
        <v>15.499999999999975</v>
      </c>
      <c r="F104">
        <f t="shared" si="7"/>
        <v>0.25833333333333292</v>
      </c>
      <c r="G104">
        <f t="shared" si="8"/>
        <v>33.197206131017481</v>
      </c>
      <c r="H104">
        <f t="shared" si="9"/>
        <v>31.990991336839677</v>
      </c>
      <c r="I104">
        <f t="shared" si="10"/>
        <v>103.7704827008245</v>
      </c>
      <c r="J104">
        <f t="shared" si="11"/>
        <v>1.037704827008245</v>
      </c>
    </row>
    <row r="105" spans="1:10" x14ac:dyDescent="0.2">
      <c r="A105" s="2">
        <v>2</v>
      </c>
      <c r="B105" s="2">
        <v>2</v>
      </c>
      <c r="C105" s="2">
        <v>1</v>
      </c>
      <c r="D105" s="2">
        <v>1</v>
      </c>
      <c r="E105">
        <f t="shared" si="6"/>
        <v>15.666666666666641</v>
      </c>
      <c r="F105">
        <f t="shared" si="7"/>
        <v>0.26111111111111068</v>
      </c>
      <c r="G105">
        <f t="shared" si="8"/>
        <v>33.245570955078854</v>
      </c>
      <c r="H105">
        <f t="shared" si="9"/>
        <v>31.990991336839677</v>
      </c>
      <c r="I105">
        <f t="shared" si="10"/>
        <v>103.92166533706147</v>
      </c>
      <c r="J105">
        <f t="shared" si="11"/>
        <v>1.0392166533706146</v>
      </c>
    </row>
    <row r="106" spans="1:10" x14ac:dyDescent="0.2">
      <c r="A106" s="2">
        <v>2</v>
      </c>
      <c r="B106" s="2">
        <v>2</v>
      </c>
      <c r="C106" s="2">
        <v>1</v>
      </c>
      <c r="D106" s="2">
        <v>1</v>
      </c>
      <c r="E106">
        <f t="shared" si="6"/>
        <v>15.833333333333307</v>
      </c>
      <c r="F106">
        <f t="shared" si="7"/>
        <v>0.26388888888888845</v>
      </c>
      <c r="G106">
        <f t="shared" si="8"/>
        <v>33.289151294033147</v>
      </c>
      <c r="H106">
        <f t="shared" si="9"/>
        <v>31.990991336839677</v>
      </c>
      <c r="I106">
        <f t="shared" si="10"/>
        <v>104.05789224699191</v>
      </c>
      <c r="J106">
        <f t="shared" si="11"/>
        <v>1.0405789224699191</v>
      </c>
    </row>
    <row r="107" spans="1:10" x14ac:dyDescent="0.2">
      <c r="A107" s="2">
        <v>2</v>
      </c>
      <c r="B107" s="2">
        <v>2</v>
      </c>
      <c r="C107" s="2">
        <v>1</v>
      </c>
      <c r="D107" s="2">
        <v>1</v>
      </c>
      <c r="E107">
        <f t="shared" si="6"/>
        <v>15.999999999999973</v>
      </c>
      <c r="F107">
        <f t="shared" si="7"/>
        <v>0.26666666666666622</v>
      </c>
      <c r="G107">
        <f t="shared" si="8"/>
        <v>33.328420452563755</v>
      </c>
      <c r="H107">
        <f t="shared" si="9"/>
        <v>31.990991336839677</v>
      </c>
      <c r="I107">
        <f t="shared" si="10"/>
        <v>104.18064292425957</v>
      </c>
      <c r="J107">
        <f t="shared" si="11"/>
        <v>1.0418064292425957</v>
      </c>
    </row>
    <row r="108" spans="1:10" x14ac:dyDescent="0.2">
      <c r="A108" s="2">
        <v>4</v>
      </c>
      <c r="B108" s="2">
        <v>2</v>
      </c>
      <c r="C108" s="2">
        <v>1</v>
      </c>
      <c r="D108" s="2">
        <v>1</v>
      </c>
      <c r="E108">
        <f t="shared" si="6"/>
        <v>16.166666666666639</v>
      </c>
      <c r="F108">
        <f t="shared" si="7"/>
        <v>0.26944444444444399</v>
      </c>
      <c r="G108">
        <f t="shared" si="8"/>
        <v>33.363804913738306</v>
      </c>
      <c r="H108">
        <f t="shared" si="9"/>
        <v>31.990991336839677</v>
      </c>
      <c r="I108">
        <f t="shared" si="10"/>
        <v>104.29125050375588</v>
      </c>
      <c r="J108">
        <f t="shared" si="11"/>
        <v>1.0429125050375587</v>
      </c>
    </row>
    <row r="109" spans="1:10" x14ac:dyDescent="0.2">
      <c r="A109" s="2">
        <v>4</v>
      </c>
      <c r="B109" s="2">
        <v>2</v>
      </c>
      <c r="C109" s="2">
        <v>1</v>
      </c>
      <c r="D109" s="2">
        <v>1</v>
      </c>
      <c r="E109">
        <f t="shared" si="6"/>
        <v>16.333333333333304</v>
      </c>
      <c r="F109">
        <f t="shared" si="7"/>
        <v>0.27222222222222175</v>
      </c>
      <c r="G109">
        <f t="shared" si="8"/>
        <v>33.395688970832062</v>
      </c>
      <c r="H109">
        <f t="shared" si="9"/>
        <v>31.990991336839677</v>
      </c>
      <c r="I109">
        <f t="shared" si="10"/>
        <v>104.39091624014409</v>
      </c>
      <c r="J109">
        <f t="shared" si="11"/>
        <v>1.0439091624014409</v>
      </c>
    </row>
    <row r="110" spans="1:10" x14ac:dyDescent="0.2">
      <c r="A110" s="2">
        <v>4</v>
      </c>
      <c r="B110" s="2">
        <v>2</v>
      </c>
      <c r="C110" s="2">
        <v>1</v>
      </c>
      <c r="D110" s="2">
        <v>1</v>
      </c>
      <c r="E110">
        <f t="shared" si="6"/>
        <v>16.499999999999972</v>
      </c>
      <c r="F110">
        <f t="shared" si="7"/>
        <v>0.27499999999999952</v>
      </c>
      <c r="G110">
        <f t="shared" si="8"/>
        <v>33.424418900948638</v>
      </c>
      <c r="H110">
        <f t="shared" si="9"/>
        <v>31.990991336839677</v>
      </c>
      <c r="I110">
        <f t="shared" si="10"/>
        <v>104.4807225540969</v>
      </c>
      <c r="J110">
        <f t="shared" si="11"/>
        <v>1.0448072255409691</v>
      </c>
    </row>
    <row r="111" spans="1:10" x14ac:dyDescent="0.2">
      <c r="A111" s="2">
        <v>4</v>
      </c>
      <c r="B111" s="2">
        <v>2</v>
      </c>
      <c r="C111" s="2">
        <v>1</v>
      </c>
      <c r="D111" s="2">
        <v>1</v>
      </c>
      <c r="E111">
        <f t="shared" si="6"/>
        <v>16.666666666666636</v>
      </c>
      <c r="F111">
        <f t="shared" si="7"/>
        <v>0.27777777777777729</v>
      </c>
      <c r="G111">
        <f t="shared" si="8"/>
        <v>33.450306725765799</v>
      </c>
      <c r="H111">
        <f t="shared" si="9"/>
        <v>31.990991336839677</v>
      </c>
      <c r="I111">
        <f t="shared" si="10"/>
        <v>104.56164478793637</v>
      </c>
      <c r="J111">
        <f t="shared" si="11"/>
        <v>1.0456164478793637</v>
      </c>
    </row>
    <row r="112" spans="1:10" x14ac:dyDescent="0.2">
      <c r="A112" s="2">
        <v>4</v>
      </c>
      <c r="B112" s="2">
        <v>2</v>
      </c>
      <c r="C112" s="2">
        <v>1</v>
      </c>
      <c r="D112" s="2">
        <v>1</v>
      </c>
      <c r="E112">
        <f t="shared" si="6"/>
        <v>16.833333333333304</v>
      </c>
      <c r="F112">
        <f t="shared" si="7"/>
        <v>0.28055555555555506</v>
      </c>
      <c r="G112">
        <f t="shared" si="8"/>
        <v>33.473633600249812</v>
      </c>
      <c r="H112">
        <f t="shared" si="9"/>
        <v>31.990991336839677</v>
      </c>
      <c r="I112">
        <f t="shared" si="10"/>
        <v>104.63456179834844</v>
      </c>
      <c r="J112">
        <f t="shared" si="11"/>
        <v>1.0463456179834845</v>
      </c>
    </row>
    <row r="113" spans="1:10" x14ac:dyDescent="0.2">
      <c r="A113" s="2">
        <v>4</v>
      </c>
      <c r="B113" s="2">
        <v>2</v>
      </c>
      <c r="C113" s="2">
        <v>1</v>
      </c>
      <c r="D113" s="2">
        <v>1</v>
      </c>
      <c r="E113">
        <f t="shared" si="6"/>
        <v>16.999999999999968</v>
      </c>
      <c r="F113">
        <f t="shared" si="7"/>
        <v>0.28333333333333283</v>
      </c>
      <c r="G113">
        <f t="shared" si="8"/>
        <v>33.494652866141642</v>
      </c>
      <c r="H113">
        <f t="shared" si="9"/>
        <v>31.990991336839677</v>
      </c>
      <c r="I113">
        <f t="shared" si="10"/>
        <v>104.7002655012144</v>
      </c>
      <c r="J113">
        <f t="shared" si="11"/>
        <v>1.0470026550121441</v>
      </c>
    </row>
    <row r="114" spans="1:10" x14ac:dyDescent="0.2">
      <c r="A114" s="2">
        <v>4</v>
      </c>
      <c r="B114" s="2">
        <v>2</v>
      </c>
      <c r="C114" s="2">
        <v>1</v>
      </c>
      <c r="D114" s="2">
        <v>1</v>
      </c>
      <c r="E114">
        <f t="shared" si="6"/>
        <v>17.166666666666636</v>
      </c>
      <c r="F114">
        <f t="shared" si="7"/>
        <v>0.28611111111111059</v>
      </c>
      <c r="G114">
        <f t="shared" si="8"/>
        <v>33.513592803377307</v>
      </c>
      <c r="H114">
        <f t="shared" si="9"/>
        <v>31.990991336839677</v>
      </c>
      <c r="I114">
        <f t="shared" si="10"/>
        <v>104.75946947222063</v>
      </c>
      <c r="J114">
        <f t="shared" si="11"/>
        <v>1.0475946947222063</v>
      </c>
    </row>
    <row r="115" spans="1:10" x14ac:dyDescent="0.2">
      <c r="A115" s="2">
        <v>4</v>
      </c>
      <c r="B115" s="2">
        <v>2</v>
      </c>
      <c r="C115" s="2">
        <v>1</v>
      </c>
      <c r="D115" s="2">
        <v>1</v>
      </c>
      <c r="E115">
        <f t="shared" si="6"/>
        <v>17.3333333333333</v>
      </c>
      <c r="F115">
        <f t="shared" si="7"/>
        <v>0.28888888888888836</v>
      </c>
      <c r="G115">
        <f t="shared" si="8"/>
        <v>33.53065910932429</v>
      </c>
      <c r="H115">
        <f t="shared" si="9"/>
        <v>31.990991336839677</v>
      </c>
      <c r="I115">
        <f t="shared" si="10"/>
        <v>104.81281669665418</v>
      </c>
      <c r="J115">
        <f t="shared" si="11"/>
        <v>1.0481281669665419</v>
      </c>
    </row>
    <row r="116" spans="1:10" x14ac:dyDescent="0.2">
      <c r="A116" s="2">
        <v>4</v>
      </c>
      <c r="B116" s="2">
        <v>2</v>
      </c>
      <c r="C116" s="2">
        <v>1</v>
      </c>
      <c r="D116" s="2">
        <v>1</v>
      </c>
      <c r="E116">
        <f t="shared" si="6"/>
        <v>17.499999999999968</v>
      </c>
      <c r="F116">
        <f t="shared" si="7"/>
        <v>0.29166666666666613</v>
      </c>
      <c r="G116">
        <f t="shared" si="8"/>
        <v>33.546037132759743</v>
      </c>
      <c r="H116">
        <f t="shared" si="9"/>
        <v>31.990991336839677</v>
      </c>
      <c r="I116">
        <f t="shared" si="10"/>
        <v>104.8608865525506</v>
      </c>
      <c r="J116">
        <f t="shared" si="11"/>
        <v>1.0486088655255059</v>
      </c>
    </row>
    <row r="117" spans="1:10" x14ac:dyDescent="0.2">
      <c r="A117" s="2">
        <v>4</v>
      </c>
      <c r="B117" s="2">
        <v>2</v>
      </c>
      <c r="C117" s="2">
        <v>1</v>
      </c>
      <c r="D117" s="2">
        <v>1</v>
      </c>
      <c r="E117">
        <f t="shared" si="6"/>
        <v>17.666666666666632</v>
      </c>
      <c r="F117">
        <f t="shared" si="7"/>
        <v>0.2944444444444439</v>
      </c>
      <c r="G117">
        <f t="shared" si="8"/>
        <v>33.559893886852628</v>
      </c>
      <c r="H117">
        <f t="shared" si="9"/>
        <v>31.990991336839677</v>
      </c>
      <c r="I117">
        <f t="shared" si="10"/>
        <v>104.90420110303447</v>
      </c>
      <c r="J117">
        <f t="shared" si="11"/>
        <v>1.0490420110303447</v>
      </c>
    </row>
    <row r="118" spans="1:10" x14ac:dyDescent="0.2">
      <c r="A118" s="2">
        <v>4</v>
      </c>
      <c r="B118" s="2">
        <v>2</v>
      </c>
      <c r="C118" s="2">
        <v>1</v>
      </c>
      <c r="D118" s="2">
        <v>1</v>
      </c>
      <c r="E118">
        <f t="shared" si="6"/>
        <v>17.8333333333333</v>
      </c>
      <c r="F118">
        <f t="shared" si="7"/>
        <v>0.29722222222222167</v>
      </c>
      <c r="G118">
        <f t="shared" si="8"/>
        <v>33.572379863011825</v>
      </c>
      <c r="H118">
        <f t="shared" si="9"/>
        <v>31.990991336839677</v>
      </c>
      <c r="I118">
        <f t="shared" si="10"/>
        <v>104.94323076619096</v>
      </c>
      <c r="J118">
        <f t="shared" si="11"/>
        <v>1.0494323076619096</v>
      </c>
    </row>
    <row r="119" spans="1:10" x14ac:dyDescent="0.2">
      <c r="A119" s="2">
        <v>4</v>
      </c>
      <c r="B119" s="2">
        <v>2</v>
      </c>
      <c r="C119" s="2">
        <v>1</v>
      </c>
      <c r="D119" s="2">
        <v>1</v>
      </c>
      <c r="E119">
        <f t="shared" si="6"/>
        <v>17.999999999999964</v>
      </c>
      <c r="F119">
        <f t="shared" si="7"/>
        <v>0.29999999999999943</v>
      </c>
      <c r="G119">
        <f t="shared" si="8"/>
        <v>33.583630665299509</v>
      </c>
      <c r="H119">
        <f t="shared" si="9"/>
        <v>31.990991336839677</v>
      </c>
      <c r="I119">
        <f t="shared" si="10"/>
        <v>104.978399424046</v>
      </c>
      <c r="J119">
        <f t="shared" si="11"/>
        <v>1.0497839942404601</v>
      </c>
    </row>
    <row r="120" spans="1:10" x14ac:dyDescent="0.2">
      <c r="A120" s="2">
        <v>4</v>
      </c>
      <c r="B120" s="2">
        <v>2</v>
      </c>
      <c r="C120" s="2">
        <v>1</v>
      </c>
      <c r="D120" s="2">
        <v>1</v>
      </c>
      <c r="E120">
        <f t="shared" si="6"/>
        <v>18.166666666666632</v>
      </c>
      <c r="F120">
        <f t="shared" si="7"/>
        <v>0.3027777777777772</v>
      </c>
      <c r="G120">
        <f t="shared" si="8"/>
        <v>33.593768483160332</v>
      </c>
      <c r="H120">
        <f t="shared" si="9"/>
        <v>31.990991336839677</v>
      </c>
      <c r="I120">
        <f t="shared" si="10"/>
        <v>105.01008902614079</v>
      </c>
      <c r="J120">
        <f t="shared" si="11"/>
        <v>1.050100890261408</v>
      </c>
    </row>
    <row r="121" spans="1:10" x14ac:dyDescent="0.2">
      <c r="A121" s="2">
        <v>4</v>
      </c>
      <c r="B121" s="2">
        <v>2</v>
      </c>
      <c r="C121" s="2">
        <v>1</v>
      </c>
      <c r="D121" s="2">
        <v>1</v>
      </c>
      <c r="E121">
        <f t="shared" si="6"/>
        <v>18.333333333333297</v>
      </c>
      <c r="F121">
        <f t="shared" si="7"/>
        <v>0.30555555555555497</v>
      </c>
      <c r="G121">
        <f t="shared" si="8"/>
        <v>33.602903418461054</v>
      </c>
      <c r="H121">
        <f t="shared" si="9"/>
        <v>31.990991336839677</v>
      </c>
      <c r="I121">
        <f t="shared" si="10"/>
        <v>105.03864373769861</v>
      </c>
      <c r="J121">
        <f t="shared" si="11"/>
        <v>1.050386437376986</v>
      </c>
    </row>
    <row r="122" spans="1:10" x14ac:dyDescent="0.2">
      <c r="A122" s="2">
        <v>4</v>
      </c>
      <c r="B122" s="2">
        <v>2</v>
      </c>
      <c r="C122" s="2">
        <v>1</v>
      </c>
      <c r="D122" s="2">
        <v>1</v>
      </c>
      <c r="E122">
        <f t="shared" si="6"/>
        <v>18.499999999999964</v>
      </c>
      <c r="F122">
        <f t="shared" si="7"/>
        <v>0.30833333333333274</v>
      </c>
      <c r="G122">
        <f t="shared" si="8"/>
        <v>33.611134681252913</v>
      </c>
      <c r="H122">
        <f t="shared" si="9"/>
        <v>31.990991336839677</v>
      </c>
      <c r="I122">
        <f t="shared" si="10"/>
        <v>105.06437367743442</v>
      </c>
      <c r="J122">
        <f t="shared" si="11"/>
        <v>1.0506437367743442</v>
      </c>
    </row>
    <row r="123" spans="1:10" x14ac:dyDescent="0.2">
      <c r="A123" s="2">
        <v>4</v>
      </c>
      <c r="B123" s="2">
        <v>2</v>
      </c>
      <c r="C123" s="2">
        <v>1</v>
      </c>
      <c r="D123" s="2">
        <v>1</v>
      </c>
      <c r="E123">
        <f t="shared" si="6"/>
        <v>18.666666666666629</v>
      </c>
      <c r="F123">
        <f t="shared" si="7"/>
        <v>0.31111111111111051</v>
      </c>
      <c r="G123">
        <f t="shared" si="8"/>
        <v>33.618551667243302</v>
      </c>
      <c r="H123">
        <f t="shared" si="9"/>
        <v>31.990991336839677</v>
      </c>
      <c r="I123">
        <f t="shared" si="10"/>
        <v>105.08755828560206</v>
      </c>
      <c r="J123">
        <f t="shared" si="11"/>
        <v>1.0508755828560206</v>
      </c>
    </row>
    <row r="124" spans="1:10" x14ac:dyDescent="0.2">
      <c r="A124" s="2">
        <v>4</v>
      </c>
      <c r="B124" s="2">
        <v>2</v>
      </c>
      <c r="C124" s="2">
        <v>1</v>
      </c>
      <c r="D124" s="2">
        <v>1</v>
      </c>
      <c r="E124">
        <f t="shared" si="6"/>
        <v>18.833333333333297</v>
      </c>
      <c r="F124">
        <f t="shared" si="7"/>
        <v>0.31388888888888827</v>
      </c>
      <c r="G124">
        <f t="shared" si="8"/>
        <v>33.625234928678729</v>
      </c>
      <c r="H124">
        <f t="shared" si="9"/>
        <v>31.990991336839677</v>
      </c>
      <c r="I124">
        <f t="shared" si="10"/>
        <v>105.10844935885784</v>
      </c>
      <c r="J124">
        <f t="shared" si="11"/>
        <v>1.0510844935885784</v>
      </c>
    </row>
    <row r="125" spans="1:10" x14ac:dyDescent="0.2">
      <c r="A125" s="2">
        <v>4</v>
      </c>
      <c r="B125" s="2">
        <v>2</v>
      </c>
      <c r="C125" s="2">
        <v>1</v>
      </c>
      <c r="D125" s="2">
        <v>1</v>
      </c>
      <c r="E125">
        <f t="shared" si="6"/>
        <v>18.999999999999961</v>
      </c>
      <c r="F125">
        <f t="shared" si="7"/>
        <v>0.31666666666666604</v>
      </c>
      <c r="G125">
        <f t="shared" si="8"/>
        <v>33.631257049183219</v>
      </c>
      <c r="H125">
        <f t="shared" si="9"/>
        <v>31.990991336839677</v>
      </c>
      <c r="I125">
        <f t="shared" si="10"/>
        <v>105.12727378490041</v>
      </c>
      <c r="J125">
        <f t="shared" si="11"/>
        <v>1.0512727378490041</v>
      </c>
    </row>
    <row r="126" spans="1:10" x14ac:dyDescent="0.2">
      <c r="A126" s="2">
        <v>8</v>
      </c>
      <c r="B126" s="2">
        <v>2</v>
      </c>
      <c r="C126" s="2">
        <v>1</v>
      </c>
      <c r="D126" s="2">
        <v>1</v>
      </c>
      <c r="E126">
        <f t="shared" si="6"/>
        <v>19.166666666666629</v>
      </c>
      <c r="F126">
        <f t="shared" si="7"/>
        <v>0.31944444444444381</v>
      </c>
      <c r="G126">
        <f t="shared" si="8"/>
        <v>33.636683432053466</v>
      </c>
      <c r="H126">
        <f t="shared" si="9"/>
        <v>31.990991336839677</v>
      </c>
      <c r="I126">
        <f t="shared" si="10"/>
        <v>105.14423600658687</v>
      </c>
      <c r="J126">
        <f t="shared" si="11"/>
        <v>1.0514423600658687</v>
      </c>
    </row>
    <row r="127" spans="1:10" x14ac:dyDescent="0.2">
      <c r="A127" s="2">
        <v>8</v>
      </c>
      <c r="B127" s="2">
        <v>2</v>
      </c>
      <c r="C127" s="2">
        <v>1</v>
      </c>
      <c r="D127" s="2">
        <v>1</v>
      </c>
      <c r="E127">
        <f t="shared" si="6"/>
        <v>19.333333333333293</v>
      </c>
      <c r="F127">
        <f t="shared" si="7"/>
        <v>0.32222222222222158</v>
      </c>
      <c r="G127">
        <f t="shared" si="8"/>
        <v>33.64157301057196</v>
      </c>
      <c r="H127">
        <f t="shared" si="9"/>
        <v>31.990991336839677</v>
      </c>
      <c r="I127">
        <f t="shared" si="10"/>
        <v>105.15952024228625</v>
      </c>
      <c r="J127">
        <f t="shared" si="11"/>
        <v>1.0515952024228625</v>
      </c>
    </row>
    <row r="128" spans="1:10" x14ac:dyDescent="0.2">
      <c r="A128" s="2">
        <v>8</v>
      </c>
      <c r="B128" s="2">
        <v>2</v>
      </c>
      <c r="C128" s="2">
        <v>1</v>
      </c>
      <c r="D128" s="2">
        <v>1</v>
      </c>
      <c r="E128">
        <f t="shared" si="6"/>
        <v>19.499999999999961</v>
      </c>
      <c r="F128">
        <f t="shared" si="7"/>
        <v>0.32499999999999934</v>
      </c>
      <c r="G128">
        <f t="shared" si="8"/>
        <v>33.645978888052447</v>
      </c>
      <c r="H128">
        <f t="shared" si="9"/>
        <v>31.990991336839677</v>
      </c>
      <c r="I128">
        <f t="shared" si="10"/>
        <v>105.17329248658496</v>
      </c>
      <c r="J128">
        <f t="shared" si="11"/>
        <v>1.0517329248658496</v>
      </c>
    </row>
    <row r="129" spans="1:10" x14ac:dyDescent="0.2">
      <c r="A129" s="2">
        <v>8</v>
      </c>
      <c r="B129" s="2">
        <v>2</v>
      </c>
      <c r="C129" s="2">
        <v>1</v>
      </c>
      <c r="D129" s="2">
        <v>1</v>
      </c>
      <c r="E129">
        <f t="shared" si="6"/>
        <v>19.666666666666625</v>
      </c>
      <c r="F129">
        <f t="shared" si="7"/>
        <v>0.32777777777777711</v>
      </c>
      <c r="G129">
        <f t="shared" si="8"/>
        <v>33.649948914568967</v>
      </c>
      <c r="H129">
        <f t="shared" si="9"/>
        <v>31.990991336839677</v>
      </c>
      <c r="I129">
        <f t="shared" si="10"/>
        <v>105.1857023130724</v>
      </c>
      <c r="J129">
        <f t="shared" si="11"/>
        <v>1.051857023130724</v>
      </c>
    </row>
    <row r="130" spans="1:10" x14ac:dyDescent="0.2">
      <c r="A130" s="2">
        <v>8</v>
      </c>
      <c r="B130" s="2">
        <v>2</v>
      </c>
      <c r="C130" s="2">
        <v>1</v>
      </c>
      <c r="D130" s="2">
        <v>1</v>
      </c>
      <c r="E130">
        <f t="shared" si="6"/>
        <v>19.833333333333293</v>
      </c>
      <c r="F130">
        <f t="shared" si="7"/>
        <v>0.33055555555555488</v>
      </c>
      <c r="G130">
        <f t="shared" si="8"/>
        <v>33.653526206632058</v>
      </c>
      <c r="H130">
        <f t="shared" si="9"/>
        <v>31.990991336839677</v>
      </c>
      <c r="I130">
        <f t="shared" si="10"/>
        <v>105.19688449878659</v>
      </c>
      <c r="J130">
        <f t="shared" si="11"/>
        <v>1.0519688449878659</v>
      </c>
    </row>
    <row r="131" spans="1:10" x14ac:dyDescent="0.2">
      <c r="A131" s="2">
        <v>8</v>
      </c>
      <c r="B131" s="2">
        <v>4</v>
      </c>
      <c r="C131" s="2">
        <v>1</v>
      </c>
      <c r="D131" s="2">
        <v>1</v>
      </c>
      <c r="E131">
        <f t="shared" si="6"/>
        <v>19.999999999999957</v>
      </c>
      <c r="F131">
        <f t="shared" si="7"/>
        <v>0.33333333333333265</v>
      </c>
      <c r="G131">
        <f t="shared" si="8"/>
        <v>33.656749615456008</v>
      </c>
      <c r="H131">
        <f t="shared" si="9"/>
        <v>31.990991336839677</v>
      </c>
      <c r="I131">
        <f t="shared" si="10"/>
        <v>105.20696048796118</v>
      </c>
      <c r="J131">
        <f t="shared" si="11"/>
        <v>1.0520696048796119</v>
      </c>
    </row>
    <row r="132" spans="1:10" x14ac:dyDescent="0.2">
      <c r="A132" s="2">
        <v>8</v>
      </c>
      <c r="B132" s="2">
        <v>4</v>
      </c>
      <c r="C132" s="2">
        <v>2</v>
      </c>
      <c r="D132" s="2">
        <v>2</v>
      </c>
      <c r="E132">
        <f t="shared" si="6"/>
        <v>20.166666666666625</v>
      </c>
      <c r="F132">
        <f t="shared" si="7"/>
        <v>0.33611111111111042</v>
      </c>
      <c r="G132">
        <f t="shared" si="8"/>
        <v>36.99204907982363</v>
      </c>
      <c r="H132">
        <f t="shared" si="9"/>
        <v>63.981982673679354</v>
      </c>
      <c r="I132">
        <f t="shared" si="10"/>
        <v>57.816353188819306</v>
      </c>
      <c r="J132">
        <f t="shared" si="11"/>
        <v>1.1563270637763861</v>
      </c>
    </row>
    <row r="133" spans="1:10" x14ac:dyDescent="0.2">
      <c r="A133" s="2">
        <v>8</v>
      </c>
      <c r="B133" s="2">
        <v>4</v>
      </c>
      <c r="C133" s="2">
        <v>2</v>
      </c>
      <c r="D133" s="2">
        <v>2</v>
      </c>
      <c r="E133">
        <f t="shared" si="6"/>
        <v>20.33333333333329</v>
      </c>
      <c r="F133">
        <f t="shared" si="7"/>
        <v>0.33888888888888818</v>
      </c>
      <c r="G133">
        <f t="shared" si="8"/>
        <v>39.997404397290843</v>
      </c>
      <c r="H133">
        <f t="shared" si="9"/>
        <v>63.981982673679354</v>
      </c>
      <c r="I133">
        <f t="shared" si="10"/>
        <v>62.513543228701494</v>
      </c>
      <c r="J133">
        <f t="shared" si="11"/>
        <v>1.2502708645740299</v>
      </c>
    </row>
    <row r="134" spans="1:10" x14ac:dyDescent="0.2">
      <c r="A134" s="2">
        <v>8</v>
      </c>
      <c r="B134" s="2">
        <v>4</v>
      </c>
      <c r="C134" s="2">
        <v>2</v>
      </c>
      <c r="D134" s="2">
        <v>2</v>
      </c>
      <c r="E134">
        <f t="shared" si="6"/>
        <v>20.499999999999957</v>
      </c>
      <c r="F134">
        <f t="shared" si="7"/>
        <v>0.34166666666666595</v>
      </c>
      <c r="G134">
        <f t="shared" si="8"/>
        <v>42.705455257707655</v>
      </c>
      <c r="H134">
        <f t="shared" si="9"/>
        <v>63.981982673679354</v>
      </c>
      <c r="I134">
        <f t="shared" si="10"/>
        <v>66.746064240481331</v>
      </c>
      <c r="J134">
        <f t="shared" si="11"/>
        <v>1.3349212848096266</v>
      </c>
    </row>
    <row r="135" spans="1:10" x14ac:dyDescent="0.2">
      <c r="A135" s="2">
        <v>8</v>
      </c>
      <c r="B135" s="2">
        <v>4</v>
      </c>
      <c r="C135" s="2">
        <v>2</v>
      </c>
      <c r="D135" s="2">
        <v>2</v>
      </c>
      <c r="E135">
        <f t="shared" si="6"/>
        <v>20.666666666666622</v>
      </c>
      <c r="F135">
        <f t="shared" si="7"/>
        <v>0.34444444444444372</v>
      </c>
      <c r="G135">
        <f t="shared" si="8"/>
        <v>45.145612473056367</v>
      </c>
      <c r="H135">
        <f t="shared" si="9"/>
        <v>63.981982673679354</v>
      </c>
      <c r="I135">
        <f t="shared" si="10"/>
        <v>70.559883558638433</v>
      </c>
      <c r="J135">
        <f t="shared" si="11"/>
        <v>1.4111976711727687</v>
      </c>
    </row>
    <row r="136" spans="1:10" x14ac:dyDescent="0.2">
      <c r="A136" s="2">
        <v>8</v>
      </c>
      <c r="B136" s="2">
        <v>4</v>
      </c>
      <c r="C136" s="2">
        <v>2</v>
      </c>
      <c r="D136" s="2">
        <v>2</v>
      </c>
      <c r="E136">
        <f t="shared" si="6"/>
        <v>20.83333333333329</v>
      </c>
      <c r="F136">
        <f t="shared" si="7"/>
        <v>0.34722222222222149</v>
      </c>
      <c r="G136">
        <f t="shared" si="8"/>
        <v>47.344377393853279</v>
      </c>
      <c r="H136">
        <f t="shared" si="9"/>
        <v>63.981982673679354</v>
      </c>
      <c r="I136">
        <f t="shared" si="10"/>
        <v>73.996421203948742</v>
      </c>
      <c r="J136">
        <f t="shared" si="11"/>
        <v>1.4799284240789747</v>
      </c>
    </row>
    <row r="137" spans="1:10" x14ac:dyDescent="0.2">
      <c r="A137" s="2">
        <v>8</v>
      </c>
      <c r="B137" s="2">
        <v>4</v>
      </c>
      <c r="C137" s="2">
        <v>2</v>
      </c>
      <c r="D137" s="2">
        <v>2</v>
      </c>
      <c r="E137">
        <f t="shared" si="6"/>
        <v>20.999999999999954</v>
      </c>
      <c r="F137">
        <f t="shared" si="7"/>
        <v>0.34999999999999926</v>
      </c>
      <c r="G137">
        <f t="shared" si="8"/>
        <v>49.325629727316617</v>
      </c>
      <c r="H137">
        <f t="shared" si="9"/>
        <v>63.981982673679354</v>
      </c>
      <c r="I137">
        <f t="shared" si="10"/>
        <v>77.092999726011911</v>
      </c>
      <c r="J137">
        <f t="shared" si="11"/>
        <v>1.5418599945202383</v>
      </c>
    </row>
    <row r="138" spans="1:10" x14ac:dyDescent="0.2">
      <c r="A138" s="2">
        <v>8</v>
      </c>
      <c r="B138" s="2">
        <v>4</v>
      </c>
      <c r="C138" s="2">
        <v>2</v>
      </c>
      <c r="D138" s="2">
        <v>2</v>
      </c>
      <c r="E138">
        <f t="shared" si="6"/>
        <v>21.166666666666622</v>
      </c>
      <c r="F138">
        <f t="shared" si="7"/>
        <v>0.35277777777777702</v>
      </c>
      <c r="G138">
        <f t="shared" si="8"/>
        <v>51.110886883152652</v>
      </c>
      <c r="H138">
        <f t="shared" si="9"/>
        <v>63.981982673679354</v>
      </c>
      <c r="I138">
        <f t="shared" si="10"/>
        <v>79.883249545154271</v>
      </c>
      <c r="J138">
        <f t="shared" si="11"/>
        <v>1.5976649909030853</v>
      </c>
    </row>
    <row r="139" spans="1:10" x14ac:dyDescent="0.2">
      <c r="A139" s="2">
        <v>8</v>
      </c>
      <c r="B139" s="2">
        <v>4</v>
      </c>
      <c r="C139" s="2">
        <v>2</v>
      </c>
      <c r="D139" s="2">
        <v>2</v>
      </c>
      <c r="E139">
        <f t="shared" si="6"/>
        <v>21.333333333333286</v>
      </c>
      <c r="F139">
        <f t="shared" si="7"/>
        <v>0.35555555555555479</v>
      </c>
      <c r="G139">
        <f t="shared" si="8"/>
        <v>52.719537663587296</v>
      </c>
      <c r="H139">
        <f t="shared" si="9"/>
        <v>63.981982673679354</v>
      </c>
      <c r="I139">
        <f t="shared" si="10"/>
        <v>82.39747419592679</v>
      </c>
      <c r="J139">
        <f t="shared" si="11"/>
        <v>1.6479494839185358</v>
      </c>
    </row>
    <row r="140" spans="1:10" x14ac:dyDescent="0.2">
      <c r="A140" s="2">
        <v>8</v>
      </c>
      <c r="B140" s="2">
        <v>4</v>
      </c>
      <c r="C140" s="2">
        <v>2</v>
      </c>
      <c r="D140" s="2">
        <v>2</v>
      </c>
      <c r="E140">
        <f t="shared" ref="E140:E203" si="12">F140*60</f>
        <v>21.499999999999954</v>
      </c>
      <c r="F140">
        <f t="shared" ref="F140:F203" si="13">Tsamp+F139</f>
        <v>0.35833333333333256</v>
      </c>
      <c r="G140">
        <f t="shared" ref="G140:G203" si="14">Tsamp*$D140*G$3/G$5+G$8*G139</f>
        <v>54.16905283563608</v>
      </c>
      <c r="H140">
        <f t="shared" ref="H140:H203" si="15">$D140*$G$3/$G$6</f>
        <v>63.981982673679354</v>
      </c>
      <c r="I140">
        <f t="shared" ref="I140:I203" si="16">G140/H140*100</f>
        <v>84.662979438928716</v>
      </c>
      <c r="J140">
        <f t="shared" si="11"/>
        <v>1.6932595887785744</v>
      </c>
    </row>
    <row r="141" spans="1:10" x14ac:dyDescent="0.2">
      <c r="A141" s="2">
        <v>8</v>
      </c>
      <c r="B141" s="2">
        <v>4</v>
      </c>
      <c r="C141" s="2">
        <v>2</v>
      </c>
      <c r="D141" s="2">
        <v>2</v>
      </c>
      <c r="E141">
        <f t="shared" si="12"/>
        <v>21.666666666666618</v>
      </c>
      <c r="F141">
        <f t="shared" si="13"/>
        <v>0.36111111111111033</v>
      </c>
      <c r="G141">
        <f t="shared" si="14"/>
        <v>55.475174872534552</v>
      </c>
      <c r="H141">
        <f t="shared" si="15"/>
        <v>63.981982673679354</v>
      </c>
      <c r="I141">
        <f t="shared" si="16"/>
        <v>86.704369815278795</v>
      </c>
      <c r="J141">
        <f t="shared" ref="J141:J204" si="17">($I141/100)*$D141</f>
        <v>1.7340873963055758</v>
      </c>
    </row>
    <row r="142" spans="1:10" x14ac:dyDescent="0.2">
      <c r="A142" s="2">
        <v>8</v>
      </c>
      <c r="B142" s="2">
        <v>4</v>
      </c>
      <c r="C142" s="2">
        <v>2</v>
      </c>
      <c r="D142" s="2">
        <v>2</v>
      </c>
      <c r="E142">
        <f t="shared" si="12"/>
        <v>21.833333333333286</v>
      </c>
      <c r="F142">
        <f t="shared" si="13"/>
        <v>0.3638888888888881</v>
      </c>
      <c r="G142">
        <f t="shared" si="14"/>
        <v>56.65208892501775</v>
      </c>
      <c r="H142">
        <f t="shared" si="15"/>
        <v>63.981982673679354</v>
      </c>
      <c r="I142">
        <f t="shared" si="16"/>
        <v>88.543815864466879</v>
      </c>
      <c r="J142">
        <f t="shared" si="17"/>
        <v>1.7708763172893376</v>
      </c>
    </row>
    <row r="143" spans="1:10" x14ac:dyDescent="0.2">
      <c r="A143" s="2">
        <v>8</v>
      </c>
      <c r="B143" s="2">
        <v>4</v>
      </c>
      <c r="C143" s="2">
        <v>2</v>
      </c>
      <c r="D143" s="2">
        <v>2</v>
      </c>
      <c r="E143">
        <f t="shared" si="12"/>
        <v>21.99999999999995</v>
      </c>
      <c r="F143">
        <f t="shared" si="13"/>
        <v>0.36666666666666586</v>
      </c>
      <c r="G143">
        <f t="shared" si="14"/>
        <v>57.712576879283922</v>
      </c>
      <c r="H143">
        <f t="shared" si="15"/>
        <v>63.981982673679354</v>
      </c>
      <c r="I143">
        <f t="shared" si="16"/>
        <v>90.201294907707634</v>
      </c>
      <c r="J143">
        <f t="shared" si="17"/>
        <v>1.8040258981541526</v>
      </c>
    </row>
    <row r="144" spans="1:10" x14ac:dyDescent="0.2">
      <c r="A144" s="2">
        <v>16</v>
      </c>
      <c r="B144" s="2">
        <v>4</v>
      </c>
      <c r="C144" s="2">
        <v>2</v>
      </c>
      <c r="D144" s="2">
        <v>2</v>
      </c>
      <c r="E144">
        <f t="shared" si="12"/>
        <v>22.166666666666618</v>
      </c>
      <c r="F144">
        <f t="shared" si="13"/>
        <v>0.36944444444444363</v>
      </c>
      <c r="G144">
        <f t="shared" si="14"/>
        <v>58.668156174790468</v>
      </c>
      <c r="H144">
        <f t="shared" si="15"/>
        <v>63.981982673679354</v>
      </c>
      <c r="I144">
        <f t="shared" si="16"/>
        <v>91.694808011826638</v>
      </c>
      <c r="J144">
        <f t="shared" si="17"/>
        <v>1.8338961602365327</v>
      </c>
    </row>
    <row r="145" spans="1:10" x14ac:dyDescent="0.2">
      <c r="A145" s="2">
        <v>16</v>
      </c>
      <c r="B145" s="2">
        <v>4</v>
      </c>
      <c r="C145" s="2">
        <v>2</v>
      </c>
      <c r="D145" s="2">
        <v>2</v>
      </c>
      <c r="E145">
        <f t="shared" si="12"/>
        <v>22.333333333333282</v>
      </c>
      <c r="F145">
        <f t="shared" si="13"/>
        <v>0.3722222222222214</v>
      </c>
      <c r="G145">
        <f t="shared" si="14"/>
        <v>59.529204889514105</v>
      </c>
      <c r="H145">
        <f t="shared" si="15"/>
        <v>63.981982673679354</v>
      </c>
      <c r="I145">
        <f t="shared" si="16"/>
        <v>93.040575490016792</v>
      </c>
      <c r="J145">
        <f t="shared" si="17"/>
        <v>1.8608115098003359</v>
      </c>
    </row>
    <row r="146" spans="1:10" x14ac:dyDescent="0.2">
      <c r="A146" s="2">
        <v>16</v>
      </c>
      <c r="B146" s="2">
        <v>4</v>
      </c>
      <c r="C146" s="2">
        <v>2</v>
      </c>
      <c r="D146" s="2">
        <v>2</v>
      </c>
      <c r="E146">
        <f t="shared" si="12"/>
        <v>22.49999999999995</v>
      </c>
      <c r="F146">
        <f t="shared" si="13"/>
        <v>0.37499999999999917</v>
      </c>
      <c r="G146">
        <f t="shared" si="14"/>
        <v>60.305074451164884</v>
      </c>
      <c r="H146">
        <f t="shared" si="15"/>
        <v>63.981982673679354</v>
      </c>
      <c r="I146">
        <f t="shared" si="16"/>
        <v>94.253213062703253</v>
      </c>
      <c r="J146">
        <f t="shared" si="17"/>
        <v>1.8850642612540651</v>
      </c>
    </row>
    <row r="147" spans="1:10" x14ac:dyDescent="0.2">
      <c r="A147" s="2">
        <v>16</v>
      </c>
      <c r="B147" s="2">
        <v>4</v>
      </c>
      <c r="C147" s="2">
        <v>2</v>
      </c>
      <c r="D147" s="2">
        <v>2</v>
      </c>
      <c r="E147">
        <f t="shared" si="12"/>
        <v>22.666666666666615</v>
      </c>
      <c r="F147">
        <f t="shared" si="13"/>
        <v>0.37777777777777694</v>
      </c>
      <c r="G147">
        <f t="shared" si="14"/>
        <v>61.004191198455295</v>
      </c>
      <c r="H147">
        <f t="shared" si="15"/>
        <v>63.981982673679354</v>
      </c>
      <c r="I147">
        <f t="shared" si="16"/>
        <v>95.345890591713328</v>
      </c>
      <c r="J147">
        <f t="shared" si="17"/>
        <v>1.9069178118342665</v>
      </c>
    </row>
    <row r="148" spans="1:10" x14ac:dyDescent="0.2">
      <c r="A148" s="2">
        <v>16</v>
      </c>
      <c r="B148" s="2">
        <v>4</v>
      </c>
      <c r="C148" s="2">
        <v>2</v>
      </c>
      <c r="D148" s="2">
        <v>2</v>
      </c>
      <c r="E148">
        <f t="shared" si="12"/>
        <v>22.833333333333282</v>
      </c>
      <c r="F148">
        <f t="shared" si="13"/>
        <v>0.3805555555555547</v>
      </c>
      <c r="G148">
        <f t="shared" si="14"/>
        <v>61.634147895431525</v>
      </c>
      <c r="H148">
        <f t="shared" si="15"/>
        <v>63.981982673679354</v>
      </c>
      <c r="I148">
        <f t="shared" si="16"/>
        <v>96.330475111685359</v>
      </c>
      <c r="J148">
        <f t="shared" si="17"/>
        <v>1.9266095022337071</v>
      </c>
    </row>
    <row r="149" spans="1:10" x14ac:dyDescent="0.2">
      <c r="A149" s="2">
        <v>16</v>
      </c>
      <c r="B149" s="2">
        <v>4</v>
      </c>
      <c r="C149" s="2">
        <v>2</v>
      </c>
      <c r="D149" s="2">
        <v>2</v>
      </c>
      <c r="E149">
        <f t="shared" si="12"/>
        <v>22.999999999999947</v>
      </c>
      <c r="F149">
        <f t="shared" si="13"/>
        <v>0.38333333333333247</v>
      </c>
      <c r="G149">
        <f t="shared" si="14"/>
        <v>62.201786192759215</v>
      </c>
      <c r="H149">
        <f t="shared" si="15"/>
        <v>63.981982673679354</v>
      </c>
      <c r="I149">
        <f t="shared" si="16"/>
        <v>97.217659712110688</v>
      </c>
      <c r="J149">
        <f t="shared" si="17"/>
        <v>1.9443531942422139</v>
      </c>
    </row>
    <row r="150" spans="1:10" x14ac:dyDescent="0.2">
      <c r="A150" s="2">
        <v>16</v>
      </c>
      <c r="B150" s="2">
        <v>4</v>
      </c>
      <c r="C150" s="2">
        <v>2</v>
      </c>
      <c r="D150" s="2">
        <v>2</v>
      </c>
      <c r="E150">
        <f t="shared" si="12"/>
        <v>23.166666666666615</v>
      </c>
      <c r="F150">
        <f t="shared" si="13"/>
        <v>0.38611111111111024</v>
      </c>
      <c r="G150">
        <f t="shared" si="14"/>
        <v>62.71327093153522</v>
      </c>
      <c r="H150">
        <f t="shared" si="15"/>
        <v>63.981982673679354</v>
      </c>
      <c r="I150">
        <f t="shared" si="16"/>
        <v>98.017079669733249</v>
      </c>
      <c r="J150">
        <f t="shared" si="17"/>
        <v>1.9603415933946651</v>
      </c>
    </row>
    <row r="151" spans="1:10" x14ac:dyDescent="0.2">
      <c r="A151" s="2">
        <v>16</v>
      </c>
      <c r="B151" s="2">
        <v>4</v>
      </c>
      <c r="C151" s="2">
        <v>2</v>
      </c>
      <c r="D151" s="2">
        <v>2</v>
      </c>
      <c r="E151">
        <f t="shared" si="12"/>
        <v>23.333333333333279</v>
      </c>
      <c r="F151">
        <f t="shared" si="13"/>
        <v>0.38888888888888801</v>
      </c>
      <c r="G151">
        <f t="shared" si="14"/>
        <v>63.174157096602634</v>
      </c>
      <c r="H151">
        <f t="shared" si="15"/>
        <v>63.981982673679354</v>
      </c>
      <c r="I151">
        <f t="shared" si="16"/>
        <v>98.737417092563717</v>
      </c>
      <c r="J151">
        <f t="shared" si="17"/>
        <v>1.9747483418512743</v>
      </c>
    </row>
    <row r="152" spans="1:10" x14ac:dyDescent="0.2">
      <c r="A152" s="2">
        <v>16</v>
      </c>
      <c r="B152" s="2">
        <v>4</v>
      </c>
      <c r="C152" s="2">
        <v>2</v>
      </c>
      <c r="D152" s="2">
        <v>2</v>
      </c>
      <c r="E152">
        <f t="shared" si="12"/>
        <v>23.499999999999947</v>
      </c>
      <c r="F152">
        <f t="shared" si="13"/>
        <v>0.39166666666666577</v>
      </c>
      <c r="G152">
        <f t="shared" si="14"/>
        <v>63.589450146516235</v>
      </c>
      <c r="H152">
        <f t="shared" si="15"/>
        <v>63.981982673679354</v>
      </c>
      <c r="I152">
        <f t="shared" si="16"/>
        <v>99.38649521199568</v>
      </c>
      <c r="J152">
        <f t="shared" si="17"/>
        <v>1.9877299042399137</v>
      </c>
    </row>
    <row r="153" spans="1:10" x14ac:dyDescent="0.2">
      <c r="A153" s="2">
        <v>16</v>
      </c>
      <c r="B153" s="2">
        <v>4</v>
      </c>
      <c r="C153" s="2">
        <v>2</v>
      </c>
      <c r="D153" s="2">
        <v>2</v>
      </c>
      <c r="E153">
        <f t="shared" si="12"/>
        <v>23.666666666666611</v>
      </c>
      <c r="F153">
        <f t="shared" si="13"/>
        <v>0.39444444444444354</v>
      </c>
      <c r="G153">
        <f t="shared" si="14"/>
        <v>63.963660375372449</v>
      </c>
      <c r="H153">
        <f t="shared" si="15"/>
        <v>63.981982673679354</v>
      </c>
      <c r="I153">
        <f t="shared" si="16"/>
        <v>99.971363347084207</v>
      </c>
      <c r="J153">
        <f t="shared" si="17"/>
        <v>1.9994272669416842</v>
      </c>
    </row>
    <row r="154" spans="1:10" x14ac:dyDescent="0.2">
      <c r="A154" s="2">
        <v>16</v>
      </c>
      <c r="B154" s="2">
        <v>4</v>
      </c>
      <c r="C154" s="2">
        <v>2</v>
      </c>
      <c r="D154" s="2">
        <v>2</v>
      </c>
      <c r="E154">
        <f t="shared" si="12"/>
        <v>23.833333333333279</v>
      </c>
      <c r="F154">
        <f t="shared" si="13"/>
        <v>0.39722222222222131</v>
      </c>
      <c r="G154">
        <f t="shared" si="14"/>
        <v>64.300851896901051</v>
      </c>
      <c r="H154">
        <f t="shared" si="15"/>
        <v>63.981982673679354</v>
      </c>
      <c r="I154">
        <f t="shared" si="16"/>
        <v>100.49837346374211</v>
      </c>
      <c r="J154">
        <f t="shared" si="17"/>
        <v>2.0099674692748422</v>
      </c>
    </row>
    <row r="155" spans="1:10" x14ac:dyDescent="0.2">
      <c r="A155" s="2">
        <v>16</v>
      </c>
      <c r="B155" s="2">
        <v>4</v>
      </c>
      <c r="C155" s="2">
        <v>2</v>
      </c>
      <c r="D155" s="2">
        <v>2</v>
      </c>
      <c r="E155">
        <f t="shared" si="12"/>
        <v>23.999999999999943</v>
      </c>
      <c r="F155">
        <f t="shared" si="13"/>
        <v>0.39999999999999908</v>
      </c>
      <c r="G155">
        <f t="shared" si="14"/>
        <v>64.604686782810759</v>
      </c>
      <c r="H155">
        <f t="shared" si="15"/>
        <v>63.981982673679354</v>
      </c>
      <c r="I155">
        <f t="shared" si="16"/>
        <v>100.97324916032584</v>
      </c>
      <c r="J155">
        <f t="shared" si="17"/>
        <v>2.0194649832065168</v>
      </c>
    </row>
    <row r="156" spans="1:10" x14ac:dyDescent="0.2">
      <c r="A156" s="2">
        <v>16</v>
      </c>
      <c r="B156" s="2">
        <v>4</v>
      </c>
      <c r="C156" s="2">
        <v>2</v>
      </c>
      <c r="D156" s="2">
        <v>2</v>
      </c>
      <c r="E156">
        <f t="shared" si="12"/>
        <v>24.166666666666611</v>
      </c>
      <c r="F156">
        <f t="shared" si="13"/>
        <v>0.40277777777777685</v>
      </c>
      <c r="G156">
        <f t="shared" si="14"/>
        <v>64.878464834753672</v>
      </c>
      <c r="H156">
        <f t="shared" si="15"/>
        <v>63.981982673679354</v>
      </c>
      <c r="I156">
        <f t="shared" si="16"/>
        <v>101.40114782882949</v>
      </c>
      <c r="J156">
        <f t="shared" si="17"/>
        <v>2.0280229565765899</v>
      </c>
    </row>
    <row r="157" spans="1:10" x14ac:dyDescent="0.2">
      <c r="A157" s="2">
        <v>16</v>
      </c>
      <c r="B157" s="2">
        <v>4</v>
      </c>
      <c r="C157" s="2">
        <v>2</v>
      </c>
      <c r="D157" s="2">
        <v>2</v>
      </c>
      <c r="E157">
        <f t="shared" si="12"/>
        <v>24.333333333333275</v>
      </c>
      <c r="F157">
        <f t="shared" si="13"/>
        <v>0.40555555555555461</v>
      </c>
      <c r="G157">
        <f t="shared" si="14"/>
        <v>65.125159421852302</v>
      </c>
      <c r="H157">
        <f t="shared" si="15"/>
        <v>63.981982673679354</v>
      </c>
      <c r="I157">
        <f t="shared" si="16"/>
        <v>101.78671666678942</v>
      </c>
      <c r="J157">
        <f t="shared" si="17"/>
        <v>2.0357343333357885</v>
      </c>
    </row>
    <row r="158" spans="1:10" x14ac:dyDescent="0.2">
      <c r="A158" s="2">
        <v>16</v>
      </c>
      <c r="B158" s="2">
        <v>4</v>
      </c>
      <c r="C158" s="2">
        <v>2</v>
      </c>
      <c r="D158" s="2">
        <v>2</v>
      </c>
      <c r="E158">
        <f t="shared" si="12"/>
        <v>24.499999999999943</v>
      </c>
      <c r="F158">
        <f t="shared" si="13"/>
        <v>0.40833333333333238</v>
      </c>
      <c r="G158">
        <f t="shared" si="14"/>
        <v>65.347449773003063</v>
      </c>
      <c r="H158">
        <f t="shared" si="15"/>
        <v>63.981982673679354</v>
      </c>
      <c r="I158">
        <f t="shared" si="16"/>
        <v>102.13414314821698</v>
      </c>
      <c r="J158">
        <f t="shared" si="17"/>
        <v>2.0426828629643397</v>
      </c>
    </row>
    <row r="159" spans="1:10" x14ac:dyDescent="0.2">
      <c r="A159" s="2">
        <v>16</v>
      </c>
      <c r="B159" s="2">
        <v>4</v>
      </c>
      <c r="C159" s="2">
        <v>2</v>
      </c>
      <c r="D159" s="2">
        <v>2</v>
      </c>
      <c r="E159">
        <f t="shared" si="12"/>
        <v>24.666666666666607</v>
      </c>
      <c r="F159">
        <f t="shared" si="13"/>
        <v>0.41111111111111015</v>
      </c>
      <c r="G159">
        <f t="shared" si="14"/>
        <v>65.547750074667064</v>
      </c>
      <c r="H159">
        <f t="shared" si="15"/>
        <v>63.981982673679354</v>
      </c>
      <c r="I159">
        <f t="shared" si="16"/>
        <v>102.44720050169973</v>
      </c>
      <c r="J159">
        <f t="shared" si="17"/>
        <v>2.0489440100339946</v>
      </c>
    </row>
    <row r="160" spans="1:10" x14ac:dyDescent="0.2">
      <c r="A160" s="2">
        <v>16</v>
      </c>
      <c r="B160" s="2">
        <v>4</v>
      </c>
      <c r="C160" s="2">
        <v>2</v>
      </c>
      <c r="D160" s="2">
        <v>2</v>
      </c>
      <c r="E160">
        <f t="shared" si="12"/>
        <v>24.833333333333275</v>
      </c>
      <c r="F160">
        <f t="shared" si="13"/>
        <v>0.41388888888888792</v>
      </c>
      <c r="G160">
        <f t="shared" si="14"/>
        <v>65.728235690164965</v>
      </c>
      <c r="H160">
        <f t="shared" si="15"/>
        <v>63.981982673679354</v>
      </c>
      <c r="I160">
        <f t="shared" si="16"/>
        <v>102.72928868958601</v>
      </c>
      <c r="J160">
        <f t="shared" si="17"/>
        <v>2.0545857737917204</v>
      </c>
    </row>
    <row r="161" spans="1:10" x14ac:dyDescent="0.2">
      <c r="A161" s="2">
        <v>16</v>
      </c>
      <c r="B161" s="2">
        <v>4</v>
      </c>
      <c r="C161" s="2">
        <v>2</v>
      </c>
      <c r="D161" s="2">
        <v>2</v>
      </c>
      <c r="E161">
        <f t="shared" si="12"/>
        <v>24.99999999999994</v>
      </c>
      <c r="F161">
        <f t="shared" si="13"/>
        <v>0.41666666666666569</v>
      </c>
      <c r="G161">
        <f t="shared" si="14"/>
        <v>65.890866785230898</v>
      </c>
      <c r="H161">
        <f t="shared" si="15"/>
        <v>63.981982673679354</v>
      </c>
      <c r="I161">
        <f t="shared" si="16"/>
        <v>102.98347133330836</v>
      </c>
      <c r="J161">
        <f t="shared" si="17"/>
        <v>2.0596694266661673</v>
      </c>
    </row>
    <row r="162" spans="1:10" x14ac:dyDescent="0.2">
      <c r="A162" s="2">
        <v>32</v>
      </c>
      <c r="B162" s="2">
        <v>4</v>
      </c>
      <c r="C162" s="2">
        <v>2</v>
      </c>
      <c r="D162" s="2">
        <v>2</v>
      </c>
      <c r="E162">
        <f t="shared" si="12"/>
        <v>25.166666666666607</v>
      </c>
      <c r="F162">
        <f t="shared" si="13"/>
        <v>0.41944444444444345</v>
      </c>
      <c r="G162">
        <f t="shared" si="14"/>
        <v>66.037409616411011</v>
      </c>
      <c r="H162">
        <f t="shared" si="15"/>
        <v>63.981982673679354</v>
      </c>
      <c r="I162">
        <f t="shared" si="16"/>
        <v>103.212508985873</v>
      </c>
      <c r="J162">
        <f t="shared" si="17"/>
        <v>2.0642501797174599</v>
      </c>
    </row>
    <row r="163" spans="1:10" x14ac:dyDescent="0.2">
      <c r="A163" s="2">
        <v>32</v>
      </c>
      <c r="B163" s="2">
        <v>8</v>
      </c>
      <c r="C163" s="2">
        <v>2</v>
      </c>
      <c r="D163" s="2">
        <v>2</v>
      </c>
      <c r="E163">
        <f t="shared" si="12"/>
        <v>25.333333333333272</v>
      </c>
      <c r="F163">
        <f t="shared" si="13"/>
        <v>0.42222222222222122</v>
      </c>
      <c r="G163">
        <f t="shared" si="14"/>
        <v>66.169455713509322</v>
      </c>
      <c r="H163">
        <f t="shared" si="15"/>
        <v>63.981982673679354</v>
      </c>
      <c r="I163">
        <f t="shared" si="16"/>
        <v>103.41888911287182</v>
      </c>
      <c r="J163">
        <f t="shared" si="17"/>
        <v>2.0683777822574365</v>
      </c>
    </row>
    <row r="164" spans="1:10" x14ac:dyDescent="0.2">
      <c r="A164" s="2">
        <v>32</v>
      </c>
      <c r="B164" s="2">
        <v>8</v>
      </c>
      <c r="C164" s="2">
        <v>2</v>
      </c>
      <c r="D164" s="2">
        <v>2</v>
      </c>
      <c r="E164">
        <f t="shared" si="12"/>
        <v>25.49999999999994</v>
      </c>
      <c r="F164">
        <f t="shared" si="13"/>
        <v>0.42499999999999899</v>
      </c>
      <c r="G164">
        <f t="shared" si="14"/>
        <v>66.288439164412267</v>
      </c>
      <c r="H164">
        <f t="shared" si="15"/>
        <v>63.981982673679354</v>
      </c>
      <c r="I164">
        <f t="shared" si="16"/>
        <v>103.60485310762608</v>
      </c>
      <c r="J164">
        <f t="shared" si="17"/>
        <v>2.0720970621525217</v>
      </c>
    </row>
    <row r="165" spans="1:10" x14ac:dyDescent="0.2">
      <c r="A165" s="2">
        <v>32</v>
      </c>
      <c r="B165" s="2">
        <v>8</v>
      </c>
      <c r="C165" s="2">
        <v>2</v>
      </c>
      <c r="D165" s="2">
        <v>2</v>
      </c>
      <c r="E165">
        <f t="shared" si="12"/>
        <v>25.666666666666604</v>
      </c>
      <c r="F165">
        <f t="shared" si="13"/>
        <v>0.42777777777777676</v>
      </c>
      <c r="G165">
        <f t="shared" si="14"/>
        <v>66.39565219001372</v>
      </c>
      <c r="H165">
        <f t="shared" si="15"/>
        <v>63.981982673679354</v>
      </c>
      <c r="I165">
        <f t="shared" si="16"/>
        <v>103.77242063385961</v>
      </c>
      <c r="J165">
        <f t="shared" si="17"/>
        <v>2.0754484126771922</v>
      </c>
    </row>
    <row r="166" spans="1:10" x14ac:dyDescent="0.2">
      <c r="A166" s="2">
        <v>32</v>
      </c>
      <c r="B166" s="2">
        <v>8</v>
      </c>
      <c r="C166" s="2">
        <v>2</v>
      </c>
      <c r="D166" s="2">
        <v>2</v>
      </c>
      <c r="E166">
        <f t="shared" si="12"/>
        <v>25.833333333333272</v>
      </c>
      <c r="F166">
        <f t="shared" si="13"/>
        <v>0.43055555555555453</v>
      </c>
      <c r="G166">
        <f t="shared" si="14"/>
        <v>66.492259178392246</v>
      </c>
      <c r="H166">
        <f t="shared" si="15"/>
        <v>63.981982673679354</v>
      </c>
      <c r="I166">
        <f t="shared" si="16"/>
        <v>103.92341156027595</v>
      </c>
      <c r="J166">
        <f t="shared" si="17"/>
        <v>2.0784682312055192</v>
      </c>
    </row>
    <row r="167" spans="1:10" x14ac:dyDescent="0.2">
      <c r="A167" s="2">
        <v>32</v>
      </c>
      <c r="B167" s="2">
        <v>8</v>
      </c>
      <c r="C167" s="2">
        <v>2</v>
      </c>
      <c r="D167" s="2">
        <v>2</v>
      </c>
      <c r="E167">
        <f t="shared" si="12"/>
        <v>25.999999999999936</v>
      </c>
      <c r="F167">
        <f t="shared" si="13"/>
        <v>0.43333333333333229</v>
      </c>
      <c r="G167">
        <f t="shared" si="14"/>
        <v>66.579309330658845</v>
      </c>
      <c r="H167">
        <f t="shared" si="15"/>
        <v>63.981982673679354</v>
      </c>
      <c r="I167">
        <f t="shared" si="16"/>
        <v>104.0594657252595</v>
      </c>
      <c r="J167">
        <f t="shared" si="17"/>
        <v>2.0811893145051901</v>
      </c>
    </row>
    <row r="168" spans="1:10" x14ac:dyDescent="0.2">
      <c r="A168" s="2">
        <v>32</v>
      </c>
      <c r="B168" s="2">
        <v>8</v>
      </c>
      <c r="C168" s="2">
        <v>2</v>
      </c>
      <c r="D168" s="2">
        <v>2</v>
      </c>
      <c r="E168">
        <f t="shared" si="12"/>
        <v>26.166666666666604</v>
      </c>
      <c r="F168">
        <f t="shared" si="13"/>
        <v>0.43611111111111006</v>
      </c>
      <c r="G168">
        <f t="shared" si="14"/>
        <v>66.657748055815532</v>
      </c>
      <c r="H168">
        <f t="shared" si="15"/>
        <v>63.981982673679354</v>
      </c>
      <c r="I168">
        <f t="shared" si="16"/>
        <v>104.1820607463559</v>
      </c>
      <c r="J168">
        <f t="shared" si="17"/>
        <v>2.083641214927118</v>
      </c>
    </row>
    <row r="169" spans="1:10" x14ac:dyDescent="0.2">
      <c r="A169" s="2">
        <v>32</v>
      </c>
      <c r="B169" s="2">
        <v>8</v>
      </c>
      <c r="C169" s="2">
        <v>2</v>
      </c>
      <c r="D169" s="2">
        <v>2</v>
      </c>
      <c r="E169">
        <f t="shared" si="12"/>
        <v>26.333333333333268</v>
      </c>
      <c r="F169">
        <f t="shared" si="13"/>
        <v>0.43888888888888783</v>
      </c>
      <c r="G169">
        <f t="shared" si="14"/>
        <v>66.728427238378728</v>
      </c>
      <c r="H169">
        <f t="shared" si="15"/>
        <v>63.981982673679354</v>
      </c>
      <c r="I169">
        <f t="shared" si="16"/>
        <v>104.29252806795122</v>
      </c>
      <c r="J169">
        <f t="shared" si="17"/>
        <v>2.0858505613590244</v>
      </c>
    </row>
    <row r="170" spans="1:10" x14ac:dyDescent="0.2">
      <c r="A170" s="2">
        <v>32</v>
      </c>
      <c r="B170" s="2">
        <v>8</v>
      </c>
      <c r="C170" s="2">
        <v>2</v>
      </c>
      <c r="D170" s="2">
        <v>2</v>
      </c>
      <c r="E170">
        <f t="shared" si="12"/>
        <v>26.499999999999936</v>
      </c>
      <c r="F170">
        <f t="shared" si="13"/>
        <v>0.4416666666666656</v>
      </c>
      <c r="G170">
        <f t="shared" si="14"/>
        <v>66.792114490279161</v>
      </c>
      <c r="H170">
        <f t="shared" si="15"/>
        <v>63.981982673679354</v>
      </c>
      <c r="I170">
        <f t="shared" si="16"/>
        <v>104.39206742143648</v>
      </c>
      <c r="J170">
        <f t="shared" si="17"/>
        <v>2.0878413484287295</v>
      </c>
    </row>
    <row r="171" spans="1:10" x14ac:dyDescent="0.2">
      <c r="A171" s="2">
        <v>32</v>
      </c>
      <c r="B171" s="2">
        <v>8</v>
      </c>
      <c r="C171" s="2">
        <v>2</v>
      </c>
      <c r="D171" s="2">
        <v>2</v>
      </c>
      <c r="E171">
        <f t="shared" si="12"/>
        <v>26.6666666666666</v>
      </c>
      <c r="F171">
        <f t="shared" si="13"/>
        <v>0.44444444444444337</v>
      </c>
      <c r="G171">
        <f t="shared" si="14"/>
        <v>66.849501487518438</v>
      </c>
      <c r="H171">
        <f t="shared" si="15"/>
        <v>63.981982673679354</v>
      </c>
      <c r="I171">
        <f t="shared" si="16"/>
        <v>104.48175985490164</v>
      </c>
      <c r="J171">
        <f t="shared" si="17"/>
        <v>2.0896351970980329</v>
      </c>
    </row>
    <row r="172" spans="1:10" x14ac:dyDescent="0.2">
      <c r="A172" s="2">
        <v>32</v>
      </c>
      <c r="B172" s="2">
        <v>8</v>
      </c>
      <c r="C172" s="2">
        <v>2</v>
      </c>
      <c r="D172" s="2">
        <v>2</v>
      </c>
      <c r="E172">
        <f t="shared" si="12"/>
        <v>26.833333333333268</v>
      </c>
      <c r="F172">
        <f t="shared" si="13"/>
        <v>0.44722222222222113</v>
      </c>
      <c r="G172">
        <f t="shared" si="14"/>
        <v>66.901211482122847</v>
      </c>
      <c r="H172">
        <f t="shared" si="15"/>
        <v>63.981982673679354</v>
      </c>
      <c r="I172">
        <f t="shared" si="16"/>
        <v>104.56257947386864</v>
      </c>
      <c r="J172">
        <f t="shared" si="17"/>
        <v>2.0912515894773729</v>
      </c>
    </row>
    <row r="173" spans="1:10" x14ac:dyDescent="0.2">
      <c r="A173" s="2">
        <v>32</v>
      </c>
      <c r="B173" s="2">
        <v>8</v>
      </c>
      <c r="C173" s="2">
        <v>2</v>
      </c>
      <c r="D173" s="2">
        <v>2</v>
      </c>
      <c r="E173">
        <f t="shared" si="12"/>
        <v>26.999999999999932</v>
      </c>
      <c r="F173">
        <f t="shared" si="13"/>
        <v>0.4499999999999989</v>
      </c>
      <c r="G173">
        <f t="shared" si="14"/>
        <v>66.947806070977862</v>
      </c>
      <c r="H173">
        <f t="shared" si="15"/>
        <v>63.981982673679354</v>
      </c>
      <c r="I173">
        <f t="shared" si="16"/>
        <v>104.63540402057372</v>
      </c>
      <c r="J173">
        <f t="shared" si="17"/>
        <v>2.0927080804114744</v>
      </c>
    </row>
    <row r="174" spans="1:10" x14ac:dyDescent="0.2">
      <c r="A174" s="2">
        <v>32</v>
      </c>
      <c r="B174" s="2">
        <v>8</v>
      </c>
      <c r="C174" s="2">
        <v>2</v>
      </c>
      <c r="D174" s="2">
        <v>2</v>
      </c>
      <c r="E174">
        <f t="shared" si="12"/>
        <v>27.1666666666666</v>
      </c>
      <c r="F174">
        <f t="shared" si="13"/>
        <v>0.45277777777777667</v>
      </c>
      <c r="G174">
        <f t="shared" si="14"/>
        <v>66.989791295056435</v>
      </c>
      <c r="H174">
        <f t="shared" si="15"/>
        <v>63.981982673679354</v>
      </c>
      <c r="I174">
        <f t="shared" si="16"/>
        <v>104.70102440669507</v>
      </c>
      <c r="J174">
        <f t="shared" si="17"/>
        <v>2.0940204881339013</v>
      </c>
    </row>
    <row r="175" spans="1:10" x14ac:dyDescent="0.2">
      <c r="A175" s="2">
        <v>32</v>
      </c>
      <c r="B175" s="2">
        <v>8</v>
      </c>
      <c r="C175" s="2">
        <v>2</v>
      </c>
      <c r="D175" s="2">
        <v>2</v>
      </c>
      <c r="E175">
        <f t="shared" si="12"/>
        <v>27.333333333333265</v>
      </c>
      <c r="F175">
        <f t="shared" si="13"/>
        <v>0.45555555555555444</v>
      </c>
      <c r="G175">
        <f t="shared" si="14"/>
        <v>67.027623135281772</v>
      </c>
      <c r="H175">
        <f t="shared" si="15"/>
        <v>63.981982673679354</v>
      </c>
      <c r="I175">
        <f t="shared" si="16"/>
        <v>104.76015330305685</v>
      </c>
      <c r="J175">
        <f t="shared" si="17"/>
        <v>2.0952030660611372</v>
      </c>
    </row>
    <row r="176" spans="1:10" x14ac:dyDescent="0.2">
      <c r="A176" s="2">
        <v>32</v>
      </c>
      <c r="B176" s="2">
        <v>8</v>
      </c>
      <c r="C176" s="2">
        <v>2</v>
      </c>
      <c r="D176" s="2">
        <v>2</v>
      </c>
      <c r="E176">
        <f t="shared" si="12"/>
        <v>27.499999999999932</v>
      </c>
      <c r="F176">
        <f t="shared" si="13"/>
        <v>0.4583333333333322</v>
      </c>
      <c r="G176">
        <f t="shared" si="14"/>
        <v>67.061712464712443</v>
      </c>
      <c r="H176">
        <f t="shared" si="15"/>
        <v>63.981982673679354</v>
      </c>
      <c r="I176">
        <f t="shared" si="16"/>
        <v>104.81343287959723</v>
      </c>
      <c r="J176">
        <f t="shared" si="17"/>
        <v>2.0962686575919447</v>
      </c>
    </row>
    <row r="177" spans="1:10" x14ac:dyDescent="0.2">
      <c r="A177" s="2">
        <v>32</v>
      </c>
      <c r="B177" s="2">
        <v>8</v>
      </c>
      <c r="C177" s="2">
        <v>2</v>
      </c>
      <c r="D177" s="2">
        <v>2</v>
      </c>
      <c r="E177">
        <f t="shared" si="12"/>
        <v>27.666666666666597</v>
      </c>
      <c r="F177">
        <f t="shared" si="13"/>
        <v>0.46111111111110997</v>
      </c>
      <c r="G177">
        <f t="shared" si="14"/>
        <v>67.092429510833156</v>
      </c>
      <c r="H177">
        <f t="shared" si="15"/>
        <v>63.981982673679354</v>
      </c>
      <c r="I177">
        <f t="shared" si="16"/>
        <v>104.86144177966115</v>
      </c>
      <c r="J177">
        <f t="shared" si="17"/>
        <v>2.0972288355932229</v>
      </c>
    </row>
    <row r="178" spans="1:10" x14ac:dyDescent="0.2">
      <c r="A178" s="2">
        <v>32</v>
      </c>
      <c r="B178" s="2">
        <v>8</v>
      </c>
      <c r="C178" s="2">
        <v>2</v>
      </c>
      <c r="D178" s="2">
        <v>2</v>
      </c>
      <c r="E178">
        <f t="shared" si="12"/>
        <v>27.833333333333265</v>
      </c>
      <c r="F178">
        <f t="shared" si="13"/>
        <v>0.46388888888888774</v>
      </c>
      <c r="G178">
        <f t="shared" si="14"/>
        <v>67.120107876413826</v>
      </c>
      <c r="H178">
        <f t="shared" si="15"/>
        <v>63.981982673679354</v>
      </c>
      <c r="I178">
        <f t="shared" si="16"/>
        <v>104.90470140436179</v>
      </c>
      <c r="J178">
        <f t="shared" si="17"/>
        <v>2.0980940280872358</v>
      </c>
    </row>
    <row r="179" spans="1:10" x14ac:dyDescent="0.2">
      <c r="A179" s="2">
        <v>32</v>
      </c>
      <c r="B179" s="2">
        <v>8</v>
      </c>
      <c r="C179" s="2">
        <v>2</v>
      </c>
      <c r="D179" s="2">
        <v>2</v>
      </c>
      <c r="E179">
        <f t="shared" si="12"/>
        <v>27.999999999999929</v>
      </c>
      <c r="F179">
        <f t="shared" si="13"/>
        <v>0.46666666666666551</v>
      </c>
      <c r="G179">
        <f t="shared" si="14"/>
        <v>67.145048162605619</v>
      </c>
      <c r="H179">
        <f t="shared" si="15"/>
        <v>63.981982673679354</v>
      </c>
      <c r="I179">
        <f t="shared" si="16"/>
        <v>104.94368157526239</v>
      </c>
      <c r="J179">
        <f t="shared" si="17"/>
        <v>2.0988736315052479</v>
      </c>
    </row>
    <row r="180" spans="1:10" x14ac:dyDescent="0.2">
      <c r="A180" s="2">
        <v>16</v>
      </c>
      <c r="B180" s="2">
        <v>8</v>
      </c>
      <c r="C180" s="2">
        <v>2</v>
      </c>
      <c r="D180" s="2">
        <v>2</v>
      </c>
      <c r="E180">
        <f t="shared" si="12"/>
        <v>28.166666666666597</v>
      </c>
      <c r="F180">
        <f t="shared" si="13"/>
        <v>0.46944444444444328</v>
      </c>
      <c r="G180">
        <f t="shared" si="14"/>
        <v>67.167521233622608</v>
      </c>
      <c r="H180">
        <f t="shared" si="15"/>
        <v>63.981982673679354</v>
      </c>
      <c r="I180">
        <f t="shared" si="16"/>
        <v>104.97880563687769</v>
      </c>
      <c r="J180">
        <f t="shared" si="17"/>
        <v>2.0995761127375538</v>
      </c>
    </row>
    <row r="181" spans="1:10" x14ac:dyDescent="0.2">
      <c r="A181" s="2">
        <v>16</v>
      </c>
      <c r="B181" s="2">
        <v>8</v>
      </c>
      <c r="C181" s="2">
        <v>2</v>
      </c>
      <c r="D181" s="2">
        <v>2</v>
      </c>
      <c r="E181">
        <f t="shared" si="12"/>
        <v>28.333333333333261</v>
      </c>
      <c r="F181">
        <f t="shared" si="13"/>
        <v>0.47222222222222104</v>
      </c>
      <c r="G181">
        <f t="shared" si="14"/>
        <v>67.187771158465125</v>
      </c>
      <c r="H181">
        <f t="shared" si="15"/>
        <v>63.981982673679354</v>
      </c>
      <c r="I181">
        <f t="shared" si="16"/>
        <v>105.01045505441104</v>
      </c>
      <c r="J181">
        <f t="shared" si="17"/>
        <v>2.1002091010882209</v>
      </c>
    </row>
    <row r="182" spans="1:10" x14ac:dyDescent="0.2">
      <c r="A182" s="2">
        <v>16</v>
      </c>
      <c r="B182" s="2">
        <v>8</v>
      </c>
      <c r="C182" s="2">
        <v>2</v>
      </c>
      <c r="D182" s="2">
        <v>2</v>
      </c>
      <c r="E182">
        <f t="shared" si="12"/>
        <v>28.499999999999929</v>
      </c>
      <c r="F182">
        <f t="shared" si="13"/>
        <v>0.47499999999999881</v>
      </c>
      <c r="G182">
        <f t="shared" si="14"/>
        <v>67.206017861633441</v>
      </c>
      <c r="H182">
        <f t="shared" si="15"/>
        <v>63.981982673679354</v>
      </c>
      <c r="I182">
        <f t="shared" si="16"/>
        <v>105.03897355666095</v>
      </c>
      <c r="J182">
        <f t="shared" si="17"/>
        <v>2.1007794711332188</v>
      </c>
    </row>
    <row r="183" spans="1:10" x14ac:dyDescent="0.2">
      <c r="A183" s="2">
        <v>16</v>
      </c>
      <c r="B183" s="2">
        <v>8</v>
      </c>
      <c r="C183" s="2">
        <v>2</v>
      </c>
      <c r="D183" s="2">
        <v>2</v>
      </c>
      <c r="E183">
        <f t="shared" si="12"/>
        <v>28.666666666666593</v>
      </c>
      <c r="F183">
        <f t="shared" si="13"/>
        <v>0.47777777777777658</v>
      </c>
      <c r="G183">
        <f t="shared" si="14"/>
        <v>67.222459511619903</v>
      </c>
      <c r="H183">
        <f t="shared" si="15"/>
        <v>63.981982673679354</v>
      </c>
      <c r="I183">
        <f t="shared" si="16"/>
        <v>105.06467086909078</v>
      </c>
      <c r="J183">
        <f t="shared" si="17"/>
        <v>2.1012934173818154</v>
      </c>
    </row>
    <row r="184" spans="1:10" x14ac:dyDescent="0.2">
      <c r="A184" s="2">
        <v>16</v>
      </c>
      <c r="B184" s="2">
        <v>8</v>
      </c>
      <c r="C184" s="2">
        <v>2</v>
      </c>
      <c r="D184" s="2">
        <v>2</v>
      </c>
      <c r="E184">
        <f t="shared" si="12"/>
        <v>28.833333333333261</v>
      </c>
      <c r="F184">
        <f t="shared" si="13"/>
        <v>0.48055555555555435</v>
      </c>
      <c r="G184">
        <f t="shared" si="14"/>
        <v>67.237274673119686</v>
      </c>
      <c r="H184">
        <f t="shared" si="15"/>
        <v>63.981982673679354</v>
      </c>
      <c r="I184">
        <f t="shared" si="16"/>
        <v>105.08782607760526</v>
      </c>
      <c r="J184">
        <f t="shared" si="17"/>
        <v>2.101756521552105</v>
      </c>
    </row>
    <row r="185" spans="1:10" x14ac:dyDescent="0.2">
      <c r="A185" s="2">
        <v>16</v>
      </c>
      <c r="B185" s="2">
        <v>8</v>
      </c>
      <c r="C185" s="2">
        <v>2</v>
      </c>
      <c r="D185" s="2">
        <v>2</v>
      </c>
      <c r="E185">
        <f t="shared" si="12"/>
        <v>28.999999999999925</v>
      </c>
      <c r="F185">
        <f t="shared" si="13"/>
        <v>0.48333333333333212</v>
      </c>
      <c r="G185">
        <f t="shared" si="14"/>
        <v>67.250624246334368</v>
      </c>
      <c r="H185">
        <f t="shared" si="15"/>
        <v>63.981982673679354</v>
      </c>
      <c r="I185">
        <f t="shared" si="16"/>
        <v>105.10869065956541</v>
      </c>
      <c r="J185">
        <f t="shared" si="17"/>
        <v>2.1021738131913081</v>
      </c>
    </row>
    <row r="186" spans="1:10" x14ac:dyDescent="0.2">
      <c r="A186" s="2">
        <v>16</v>
      </c>
      <c r="B186" s="2">
        <v>8</v>
      </c>
      <c r="C186" s="2">
        <v>2</v>
      </c>
      <c r="D186" s="2">
        <v>2</v>
      </c>
      <c r="E186">
        <f t="shared" si="12"/>
        <v>29.166666666666593</v>
      </c>
      <c r="F186">
        <f t="shared" si="13"/>
        <v>0.48611111111110988</v>
      </c>
      <c r="G186">
        <f t="shared" si="14"/>
        <v>67.262653214430131</v>
      </c>
      <c r="H186">
        <f t="shared" si="15"/>
        <v>63.981982673679354</v>
      </c>
      <c r="I186">
        <f t="shared" si="16"/>
        <v>105.12749121496098</v>
      </c>
      <c r="J186">
        <f t="shared" si="17"/>
        <v>2.1025498242992198</v>
      </c>
    </row>
    <row r="187" spans="1:10" x14ac:dyDescent="0.2">
      <c r="A187" s="2">
        <v>16</v>
      </c>
      <c r="B187" s="2">
        <v>8</v>
      </c>
      <c r="C187" s="2">
        <v>2</v>
      </c>
      <c r="D187" s="2">
        <v>2</v>
      </c>
      <c r="E187">
        <f t="shared" si="12"/>
        <v>29.333333333333258</v>
      </c>
      <c r="F187">
        <f t="shared" si="13"/>
        <v>0.48888888888888765</v>
      </c>
      <c r="G187">
        <f t="shared" si="14"/>
        <v>67.273492218128737</v>
      </c>
      <c r="H187">
        <f t="shared" si="15"/>
        <v>63.981982673679354</v>
      </c>
      <c r="I187">
        <f t="shared" si="16"/>
        <v>105.14443192740171</v>
      </c>
      <c r="J187">
        <f t="shared" si="17"/>
        <v>2.1028886385480341</v>
      </c>
    </row>
    <row r="188" spans="1:10" x14ac:dyDescent="0.2">
      <c r="A188" s="2">
        <v>16</v>
      </c>
      <c r="B188" s="2">
        <v>8</v>
      </c>
      <c r="C188" s="2">
        <v>2</v>
      </c>
      <c r="D188" s="2">
        <v>2</v>
      </c>
      <c r="E188">
        <f t="shared" si="12"/>
        <v>29.499999999999925</v>
      </c>
      <c r="F188">
        <f t="shared" si="13"/>
        <v>0.49166666666666542</v>
      </c>
      <c r="G188">
        <f t="shared" si="14"/>
        <v>67.283258974532373</v>
      </c>
      <c r="H188">
        <f t="shared" si="15"/>
        <v>63.981982673679354</v>
      </c>
      <c r="I188">
        <f t="shared" si="16"/>
        <v>105.1596967816552</v>
      </c>
      <c r="J188">
        <f t="shared" si="17"/>
        <v>2.103193935633104</v>
      </c>
    </row>
    <row r="189" spans="1:10" x14ac:dyDescent="0.2">
      <c r="A189" s="2">
        <v>16</v>
      </c>
      <c r="B189" s="2">
        <v>8</v>
      </c>
      <c r="C189" s="2">
        <v>2</v>
      </c>
      <c r="D189" s="2">
        <v>2</v>
      </c>
      <c r="E189">
        <f t="shared" si="12"/>
        <v>29.66666666666659</v>
      </c>
      <c r="F189">
        <f t="shared" si="13"/>
        <v>0.49444444444444319</v>
      </c>
      <c r="G189">
        <f t="shared" si="14"/>
        <v>67.292059555591337</v>
      </c>
      <c r="H189">
        <f t="shared" si="15"/>
        <v>63.981982673679354</v>
      </c>
      <c r="I189">
        <f t="shared" si="16"/>
        <v>105.1734515618155</v>
      </c>
      <c r="J189">
        <f t="shared" si="17"/>
        <v>2.10346903123631</v>
      </c>
    </row>
    <row r="190" spans="1:10" x14ac:dyDescent="0.2">
      <c r="A190" s="2">
        <v>16</v>
      </c>
      <c r="B190" s="2">
        <v>8</v>
      </c>
      <c r="C190" s="2">
        <v>2</v>
      </c>
      <c r="D190" s="2">
        <v>2</v>
      </c>
      <c r="E190">
        <f t="shared" si="12"/>
        <v>29.833333333333258</v>
      </c>
      <c r="F190">
        <f t="shared" si="13"/>
        <v>0.49722222222222096</v>
      </c>
      <c r="G190">
        <f t="shared" si="14"/>
        <v>67.299989540099446</v>
      </c>
      <c r="H190">
        <f t="shared" si="15"/>
        <v>63.981982673679354</v>
      </c>
      <c r="I190">
        <f t="shared" si="16"/>
        <v>105.18584565180259</v>
      </c>
      <c r="J190">
        <f t="shared" si="17"/>
        <v>2.103716913036052</v>
      </c>
    </row>
    <row r="191" spans="1:10" x14ac:dyDescent="0.2">
      <c r="A191" s="2">
        <v>16</v>
      </c>
      <c r="B191" s="2">
        <v>8</v>
      </c>
      <c r="C191" s="2">
        <v>2</v>
      </c>
      <c r="D191" s="2">
        <v>2</v>
      </c>
      <c r="E191">
        <f t="shared" si="12"/>
        <v>29.999999999999922</v>
      </c>
      <c r="F191">
        <f t="shared" si="13"/>
        <v>0.49999999999999872</v>
      </c>
      <c r="G191">
        <f t="shared" si="14"/>
        <v>67.307135051728466</v>
      </c>
      <c r="H191">
        <f t="shared" si="15"/>
        <v>63.981982673679354</v>
      </c>
      <c r="I191">
        <f t="shared" si="16"/>
        <v>105.19701365774804</v>
      </c>
      <c r="J191">
        <f t="shared" si="17"/>
        <v>2.103940273154961</v>
      </c>
    </row>
    <row r="192" spans="1:10" x14ac:dyDescent="0.2">
      <c r="A192" s="2">
        <v>16</v>
      </c>
      <c r="B192" s="2">
        <v>16</v>
      </c>
      <c r="C192" s="2">
        <v>4</v>
      </c>
      <c r="D192" s="2">
        <v>4</v>
      </c>
      <c r="E192">
        <f t="shared" si="12"/>
        <v>30.166666666666593</v>
      </c>
      <c r="F192">
        <f t="shared" si="13"/>
        <v>0.50277777777777655</v>
      </c>
      <c r="G192">
        <f t="shared" si="14"/>
        <v>73.978363556216607</v>
      </c>
      <c r="H192">
        <f t="shared" si="15"/>
        <v>127.96396534735871</v>
      </c>
      <c r="I192">
        <f t="shared" si="16"/>
        <v>57.811871768276355</v>
      </c>
      <c r="J192">
        <f t="shared" si="17"/>
        <v>2.3124748707310543</v>
      </c>
    </row>
    <row r="193" spans="1:10" x14ac:dyDescent="0.2">
      <c r="A193" s="2">
        <v>16</v>
      </c>
      <c r="B193" s="2">
        <v>16</v>
      </c>
      <c r="C193" s="2">
        <v>4</v>
      </c>
      <c r="D193" s="2">
        <v>4</v>
      </c>
      <c r="E193">
        <f t="shared" si="12"/>
        <v>30.333333333333258</v>
      </c>
      <c r="F193">
        <f t="shared" si="13"/>
        <v>0.50555555555555431</v>
      </c>
      <c r="G193">
        <f t="shared" si="14"/>
        <v>79.989641486189143</v>
      </c>
      <c r="H193">
        <f t="shared" si="15"/>
        <v>127.96396534735871</v>
      </c>
      <c r="I193">
        <f t="shared" si="16"/>
        <v>62.50950513221197</v>
      </c>
      <c r="J193">
        <f t="shared" si="17"/>
        <v>2.5003802052884789</v>
      </c>
    </row>
    <row r="194" spans="1:10" x14ac:dyDescent="0.2">
      <c r="A194" s="2">
        <v>16</v>
      </c>
      <c r="B194" s="2">
        <v>16</v>
      </c>
      <c r="C194" s="2">
        <v>4</v>
      </c>
      <c r="D194" s="2">
        <v>4</v>
      </c>
      <c r="E194">
        <f t="shared" si="12"/>
        <v>30.499999999999925</v>
      </c>
      <c r="F194">
        <f t="shared" si="13"/>
        <v>0.50833333333333208</v>
      </c>
      <c r="G194">
        <f t="shared" si="14"/>
        <v>85.40625438245921</v>
      </c>
      <c r="H194">
        <f t="shared" si="15"/>
        <v>127.96396534735871</v>
      </c>
      <c r="I194">
        <f t="shared" si="16"/>
        <v>66.742425612260121</v>
      </c>
      <c r="J194">
        <f t="shared" si="17"/>
        <v>2.669697024490405</v>
      </c>
    </row>
    <row r="195" spans="1:10" x14ac:dyDescent="0.2">
      <c r="A195" s="2">
        <v>16</v>
      </c>
      <c r="B195" s="2">
        <v>16</v>
      </c>
      <c r="C195" s="2">
        <v>4</v>
      </c>
      <c r="D195" s="2">
        <v>4</v>
      </c>
      <c r="E195">
        <f t="shared" si="12"/>
        <v>30.66666666666659</v>
      </c>
      <c r="F195">
        <f t="shared" si="13"/>
        <v>0.51111111111110985</v>
      </c>
      <c r="G195">
        <f t="shared" si="14"/>
        <v>90.28702942061706</v>
      </c>
      <c r="H195">
        <f t="shared" si="15"/>
        <v>127.96396534735871</v>
      </c>
      <c r="I195">
        <f t="shared" si="16"/>
        <v>70.556604881329321</v>
      </c>
      <c r="J195">
        <f t="shared" si="17"/>
        <v>2.8222641952531728</v>
      </c>
    </row>
    <row r="196" spans="1:10" x14ac:dyDescent="0.2">
      <c r="A196" s="2">
        <v>16</v>
      </c>
      <c r="B196" s="2">
        <v>16</v>
      </c>
      <c r="C196" s="2">
        <v>4</v>
      </c>
      <c r="D196" s="2">
        <v>4</v>
      </c>
      <c r="E196">
        <f t="shared" si="12"/>
        <v>30.833333333333258</v>
      </c>
      <c r="F196">
        <f t="shared" si="13"/>
        <v>0.51388888888888762</v>
      </c>
      <c r="G196">
        <f t="shared" si="14"/>
        <v>94.684974304126982</v>
      </c>
      <c r="H196">
        <f t="shared" si="15"/>
        <v>127.96396534735871</v>
      </c>
      <c r="I196">
        <f t="shared" si="16"/>
        <v>73.993466869445811</v>
      </c>
      <c r="J196">
        <f t="shared" si="17"/>
        <v>2.9597386747778325</v>
      </c>
    </row>
    <row r="197" spans="1:10" x14ac:dyDescent="0.2">
      <c r="A197" s="2">
        <v>16</v>
      </c>
      <c r="B197" s="2">
        <v>16</v>
      </c>
      <c r="C197" s="2">
        <v>4</v>
      </c>
      <c r="D197" s="2">
        <v>4</v>
      </c>
      <c r="E197">
        <f t="shared" si="12"/>
        <v>30.999999999999922</v>
      </c>
      <c r="F197">
        <f t="shared" si="13"/>
        <v>0.51666666666666539</v>
      </c>
      <c r="G197">
        <f t="shared" si="14"/>
        <v>98.647852954992103</v>
      </c>
      <c r="H197">
        <f t="shared" si="15"/>
        <v>127.96396534735871</v>
      </c>
      <c r="I197">
        <f t="shared" si="16"/>
        <v>77.090337648737361</v>
      </c>
      <c r="J197">
        <f t="shared" si="17"/>
        <v>3.0836135059494945</v>
      </c>
    </row>
    <row r="198" spans="1:10" x14ac:dyDescent="0.2">
      <c r="A198" s="2">
        <v>8</v>
      </c>
      <c r="B198" s="2">
        <v>16</v>
      </c>
      <c r="C198" s="2">
        <v>4</v>
      </c>
      <c r="D198" s="2">
        <v>4</v>
      </c>
      <c r="E198">
        <f t="shared" si="12"/>
        <v>31.16666666666659</v>
      </c>
      <c r="F198">
        <f t="shared" si="13"/>
        <v>0.51944444444444315</v>
      </c>
      <c r="G198">
        <f t="shared" si="14"/>
        <v>102.21870425428104</v>
      </c>
      <c r="H198">
        <f t="shared" si="15"/>
        <v>127.96396534735871</v>
      </c>
      <c r="I198">
        <f t="shared" si="16"/>
        <v>79.880850813592673</v>
      </c>
      <c r="J198">
        <f t="shared" si="17"/>
        <v>3.195234032543707</v>
      </c>
    </row>
    <row r="199" spans="1:10" x14ac:dyDescent="0.2">
      <c r="A199" s="2">
        <v>8</v>
      </c>
      <c r="B199" s="2">
        <v>16</v>
      </c>
      <c r="C199" s="2">
        <v>4</v>
      </c>
      <c r="D199" s="2">
        <v>4</v>
      </c>
      <c r="E199">
        <f t="shared" si="12"/>
        <v>31.333333333333254</v>
      </c>
      <c r="F199">
        <f t="shared" si="13"/>
        <v>0.52222222222222092</v>
      </c>
      <c r="G199">
        <f t="shared" si="14"/>
        <v>105.43630946630282</v>
      </c>
      <c r="H199">
        <f t="shared" si="15"/>
        <v>127.96396534735871</v>
      </c>
      <c r="I199">
        <f t="shared" si="16"/>
        <v>82.39531275863132</v>
      </c>
      <c r="J199">
        <f t="shared" si="17"/>
        <v>3.2958125103452529</v>
      </c>
    </row>
    <row r="200" spans="1:10" x14ac:dyDescent="0.2">
      <c r="A200" s="2">
        <v>8</v>
      </c>
      <c r="B200" s="2">
        <v>16</v>
      </c>
      <c r="C200" s="2">
        <v>4</v>
      </c>
      <c r="D200" s="2">
        <v>4</v>
      </c>
      <c r="E200">
        <f t="shared" si="12"/>
        <v>31.499999999999922</v>
      </c>
      <c r="F200">
        <f t="shared" si="13"/>
        <v>0.52499999999999869</v>
      </c>
      <c r="G200">
        <f t="shared" si="14"/>
        <v>108.33561342289471</v>
      </c>
      <c r="H200">
        <f t="shared" si="15"/>
        <v>127.96396534735871</v>
      </c>
      <c r="I200">
        <f t="shared" si="16"/>
        <v>84.661031821589177</v>
      </c>
      <c r="J200">
        <f t="shared" si="17"/>
        <v>3.3864412728635669</v>
      </c>
    </row>
    <row r="201" spans="1:10" x14ac:dyDescent="0.2">
      <c r="A201" s="2">
        <v>8</v>
      </c>
      <c r="B201" s="2">
        <v>16</v>
      </c>
      <c r="C201" s="2">
        <v>4</v>
      </c>
      <c r="D201" s="2">
        <v>4</v>
      </c>
      <c r="E201">
        <f t="shared" si="12"/>
        <v>31.666666666666586</v>
      </c>
      <c r="F201">
        <f t="shared" si="13"/>
        <v>0.52777777777777646</v>
      </c>
      <c r="G201">
        <f t="shared" si="14"/>
        <v>110.94810404209892</v>
      </c>
      <c r="H201">
        <f t="shared" si="15"/>
        <v>127.96396534735871</v>
      </c>
      <c r="I201">
        <f t="shared" si="16"/>
        <v>86.702614865778685</v>
      </c>
      <c r="J201">
        <f t="shared" si="17"/>
        <v>3.4681045946311473</v>
      </c>
    </row>
    <row r="202" spans="1:10" x14ac:dyDescent="0.2">
      <c r="A202" s="2">
        <v>8</v>
      </c>
      <c r="B202" s="2">
        <v>16</v>
      </c>
      <c r="C202" s="2">
        <v>4</v>
      </c>
      <c r="D202" s="2">
        <v>4</v>
      </c>
      <c r="E202">
        <f t="shared" si="12"/>
        <v>31.833333333333254</v>
      </c>
      <c r="F202">
        <f t="shared" si="13"/>
        <v>0.53055555555555423</v>
      </c>
      <c r="G202">
        <f t="shared" si="14"/>
        <v>113.30215430299423</v>
      </c>
      <c r="H202">
        <f t="shared" si="15"/>
        <v>127.96396534735871</v>
      </c>
      <c r="I202">
        <f t="shared" si="16"/>
        <v>88.542234523160531</v>
      </c>
      <c r="J202">
        <f t="shared" si="17"/>
        <v>3.5416893809264214</v>
      </c>
    </row>
    <row r="203" spans="1:10" x14ac:dyDescent="0.2">
      <c r="A203" s="2">
        <v>8</v>
      </c>
      <c r="B203" s="2">
        <v>16</v>
      </c>
      <c r="C203" s="2">
        <v>4</v>
      </c>
      <c r="D203" s="2">
        <v>4</v>
      </c>
      <c r="E203">
        <f t="shared" si="12"/>
        <v>31.999999999999918</v>
      </c>
      <c r="F203">
        <f t="shared" si="13"/>
        <v>0.53333333333333199</v>
      </c>
      <c r="G203">
        <f t="shared" si="14"/>
        <v>115.4233303907037</v>
      </c>
      <c r="H203">
        <f t="shared" si="15"/>
        <v>127.96396534735871</v>
      </c>
      <c r="I203">
        <f t="shared" si="16"/>
        <v>90.199870000422848</v>
      </c>
      <c r="J203">
        <f t="shared" si="17"/>
        <v>3.6079948000169138</v>
      </c>
    </row>
    <row r="204" spans="1:10" x14ac:dyDescent="0.2">
      <c r="A204" s="2">
        <v>8</v>
      </c>
      <c r="B204" s="2">
        <v>16</v>
      </c>
      <c r="C204" s="2">
        <v>4</v>
      </c>
      <c r="D204" s="2">
        <v>4</v>
      </c>
      <c r="E204">
        <f t="shared" ref="E204:E267" si="18">F204*60</f>
        <v>32.166666666666586</v>
      </c>
      <c r="F204">
        <f t="shared" ref="F204:F267" si="19">Tsamp+F203</f>
        <v>0.53611111111110976</v>
      </c>
      <c r="G204">
        <f t="shared" ref="G204:G267" si="20">Tsamp*$D204*G$3/G$5+G$8*G203</f>
        <v>117.33466935818998</v>
      </c>
      <c r="H204">
        <f t="shared" ref="H204:H267" si="21">$D204*$G$3/$G$6</f>
        <v>127.96396534735871</v>
      </c>
      <c r="I204">
        <f t="shared" ref="I204:I267" si="22">G204/H204*100</f>
        <v>91.693524063344356</v>
      </c>
      <c r="J204">
        <f t="shared" si="17"/>
        <v>3.6677409625337742</v>
      </c>
    </row>
    <row r="205" spans="1:10" x14ac:dyDescent="0.2">
      <c r="A205" s="2">
        <v>8</v>
      </c>
      <c r="B205" s="2">
        <v>16</v>
      </c>
      <c r="C205" s="2">
        <v>4</v>
      </c>
      <c r="D205" s="2">
        <v>4</v>
      </c>
      <c r="E205">
        <f t="shared" si="18"/>
        <v>32.33333333333325</v>
      </c>
      <c r="F205">
        <f t="shared" si="19"/>
        <v>0.53888888888888753</v>
      </c>
      <c r="G205">
        <f t="shared" si="20"/>
        <v>119.05692932038691</v>
      </c>
      <c r="H205">
        <f t="shared" si="21"/>
        <v>127.96396534735871</v>
      </c>
      <c r="I205">
        <f t="shared" si="22"/>
        <v>93.039418556002389</v>
      </c>
      <c r="J205">
        <f t="shared" ref="J205:J268" si="23">($I205/100)*$D205</f>
        <v>3.7215767422400954</v>
      </c>
    </row>
    <row r="206" spans="1:10" x14ac:dyDescent="0.2">
      <c r="A206" s="2">
        <v>8</v>
      </c>
      <c r="B206" s="2">
        <v>16</v>
      </c>
      <c r="C206" s="2">
        <v>4</v>
      </c>
      <c r="D206" s="2">
        <v>4</v>
      </c>
      <c r="E206">
        <f t="shared" si="18"/>
        <v>32.499999999999915</v>
      </c>
      <c r="F206">
        <f t="shared" si="19"/>
        <v>0.5416666666666653</v>
      </c>
      <c r="G206">
        <f t="shared" si="20"/>
        <v>120.60881489790306</v>
      </c>
      <c r="H206">
        <f t="shared" si="21"/>
        <v>127.96396534735871</v>
      </c>
      <c r="I206">
        <f t="shared" si="22"/>
        <v>94.252170578263915</v>
      </c>
      <c r="J206">
        <f t="shared" si="23"/>
        <v>3.7700868231305567</v>
      </c>
    </row>
    <row r="207" spans="1:10" x14ac:dyDescent="0.2">
      <c r="A207" s="2">
        <v>8</v>
      </c>
      <c r="B207" s="2">
        <v>16</v>
      </c>
      <c r="C207" s="2">
        <v>4</v>
      </c>
      <c r="D207" s="2">
        <v>4</v>
      </c>
      <c r="E207">
        <f t="shared" si="18"/>
        <v>32.666666666666586</v>
      </c>
      <c r="F207">
        <f t="shared" si="19"/>
        <v>0.54444444444444307</v>
      </c>
      <c r="G207">
        <f t="shared" si="20"/>
        <v>122.00718035873076</v>
      </c>
      <c r="H207">
        <f t="shared" si="21"/>
        <v>127.96396534735871</v>
      </c>
      <c r="I207">
        <f t="shared" si="22"/>
        <v>95.344951234936943</v>
      </c>
      <c r="J207">
        <f t="shared" si="23"/>
        <v>3.8137980493974779</v>
      </c>
    </row>
    <row r="208" spans="1:10" x14ac:dyDescent="0.2">
      <c r="A208" s="2">
        <v>8</v>
      </c>
      <c r="B208" s="2">
        <v>16</v>
      </c>
      <c r="C208" s="2">
        <v>4</v>
      </c>
      <c r="D208" s="2">
        <v>4</v>
      </c>
      <c r="E208">
        <f t="shared" si="18"/>
        <v>32.83333333333325</v>
      </c>
      <c r="F208">
        <f t="shared" si="19"/>
        <v>0.54722222222222083</v>
      </c>
      <c r="G208">
        <f t="shared" si="20"/>
        <v>123.26721266418309</v>
      </c>
      <c r="H208">
        <f t="shared" si="21"/>
        <v>127.96396534735871</v>
      </c>
      <c r="I208">
        <f t="shared" si="22"/>
        <v>96.329628680678766</v>
      </c>
      <c r="J208">
        <f t="shared" si="23"/>
        <v>3.8531851472271508</v>
      </c>
    </row>
    <row r="209" spans="1:10" x14ac:dyDescent="0.2">
      <c r="A209" s="2">
        <v>8</v>
      </c>
      <c r="B209" s="2">
        <v>16</v>
      </c>
      <c r="C209" s="2">
        <v>4</v>
      </c>
      <c r="D209" s="2">
        <v>4</v>
      </c>
      <c r="E209">
        <f t="shared" si="18"/>
        <v>32.999999999999915</v>
      </c>
      <c r="F209">
        <f t="shared" si="19"/>
        <v>0.5499999999999986</v>
      </c>
      <c r="G209">
        <f t="shared" si="20"/>
        <v>124.40259640703079</v>
      </c>
      <c r="H209">
        <f t="shared" si="21"/>
        <v>127.96396534735871</v>
      </c>
      <c r="I209">
        <f t="shared" si="22"/>
        <v>97.216897014201948</v>
      </c>
      <c r="J209">
        <f t="shared" si="23"/>
        <v>3.8886758805680781</v>
      </c>
    </row>
    <row r="210" spans="1:10" x14ac:dyDescent="0.2">
      <c r="A210" s="2">
        <v>8</v>
      </c>
      <c r="B210" s="2">
        <v>16</v>
      </c>
      <c r="C210" s="2">
        <v>4</v>
      </c>
      <c r="D210" s="2">
        <v>4</v>
      </c>
      <c r="E210">
        <f t="shared" si="18"/>
        <v>33.166666666666579</v>
      </c>
      <c r="F210">
        <f t="shared" si="19"/>
        <v>0.55277777777777637</v>
      </c>
      <c r="G210">
        <f t="shared" si="20"/>
        <v>125.4256624331515</v>
      </c>
      <c r="H210">
        <f t="shared" si="21"/>
        <v>127.96396534735871</v>
      </c>
      <c r="I210">
        <f t="shared" si="22"/>
        <v>98.016392421634507</v>
      </c>
      <c r="J210">
        <f t="shared" si="23"/>
        <v>3.9206556968653801</v>
      </c>
    </row>
    <row r="211" spans="1:10" x14ac:dyDescent="0.2">
      <c r="A211" s="2">
        <v>8</v>
      </c>
      <c r="B211" s="2">
        <v>16</v>
      </c>
      <c r="C211" s="2">
        <v>4</v>
      </c>
      <c r="D211" s="2">
        <v>4</v>
      </c>
      <c r="E211">
        <f t="shared" si="18"/>
        <v>33.33333333333325</v>
      </c>
      <c r="F211">
        <f t="shared" si="19"/>
        <v>0.55555555555555414</v>
      </c>
      <c r="G211">
        <f t="shared" si="20"/>
        <v>126.34752176079809</v>
      </c>
      <c r="H211">
        <f t="shared" si="21"/>
        <v>127.96396534735871</v>
      </c>
      <c r="I211">
        <f t="shared" si="22"/>
        <v>98.736797830410467</v>
      </c>
      <c r="J211">
        <f t="shared" si="23"/>
        <v>3.9494719132164189</v>
      </c>
    </row>
    <row r="212" spans="1:10" x14ac:dyDescent="0.2">
      <c r="A212" s="2">
        <v>8</v>
      </c>
      <c r="B212" s="2">
        <v>16</v>
      </c>
      <c r="C212" s="2">
        <v>4</v>
      </c>
      <c r="D212" s="2">
        <v>4</v>
      </c>
      <c r="E212">
        <f t="shared" si="18"/>
        <v>33.499999999999915</v>
      </c>
      <c r="F212">
        <f t="shared" si="19"/>
        <v>0.5583333333333319</v>
      </c>
      <c r="G212">
        <f t="shared" si="20"/>
        <v>127.1781862519174</v>
      </c>
      <c r="H212">
        <f t="shared" si="21"/>
        <v>127.96396534735871</v>
      </c>
      <c r="I212">
        <f t="shared" si="22"/>
        <v>99.385937210285476</v>
      </c>
      <c r="J212">
        <f t="shared" si="23"/>
        <v>3.9754374884114192</v>
      </c>
    </row>
    <row r="213" spans="1:10" x14ac:dyDescent="0.2">
      <c r="A213" s="2">
        <v>8</v>
      </c>
      <c r="B213" s="2">
        <v>16</v>
      </c>
      <c r="C213" s="2">
        <v>4</v>
      </c>
      <c r="D213" s="2">
        <v>4</v>
      </c>
      <c r="E213">
        <f t="shared" si="18"/>
        <v>33.666666666666579</v>
      </c>
      <c r="F213">
        <f t="shared" si="19"/>
        <v>0.56111111111110967</v>
      </c>
      <c r="G213">
        <f t="shared" si="20"/>
        <v>127.92667734607164</v>
      </c>
      <c r="H213">
        <f t="shared" si="21"/>
        <v>127.96396534735871</v>
      </c>
      <c r="I213">
        <f t="shared" si="22"/>
        <v>99.970860545634196</v>
      </c>
      <c r="J213">
        <f t="shared" si="23"/>
        <v>3.998834421825368</v>
      </c>
    </row>
    <row r="214" spans="1:10" x14ac:dyDescent="0.2">
      <c r="A214" s="2">
        <v>4</v>
      </c>
      <c r="B214" s="2">
        <v>16</v>
      </c>
      <c r="C214" s="2">
        <v>4</v>
      </c>
      <c r="D214" s="2">
        <v>4</v>
      </c>
      <c r="E214">
        <f t="shared" si="18"/>
        <v>33.833333333333243</v>
      </c>
      <c r="F214">
        <f t="shared" si="19"/>
        <v>0.56388888888888744</v>
      </c>
      <c r="G214">
        <f t="shared" si="20"/>
        <v>128.60112403786815</v>
      </c>
      <c r="H214">
        <f t="shared" si="21"/>
        <v>127.96396534735871</v>
      </c>
      <c r="I214">
        <f t="shared" si="22"/>
        <v>100.49792040187239</v>
      </c>
      <c r="J214">
        <f t="shared" si="23"/>
        <v>4.0199168160748959</v>
      </c>
    </row>
    <row r="215" spans="1:10" x14ac:dyDescent="0.2">
      <c r="A215" s="2">
        <v>4</v>
      </c>
      <c r="B215" s="2">
        <v>16</v>
      </c>
      <c r="C215" s="2">
        <v>4</v>
      </c>
      <c r="D215" s="2">
        <v>4</v>
      </c>
      <c r="E215">
        <f t="shared" si="18"/>
        <v>33.999999999999915</v>
      </c>
      <c r="F215">
        <f t="shared" si="19"/>
        <v>0.56666666666666521</v>
      </c>
      <c r="G215">
        <f t="shared" si="20"/>
        <v>129.20885116198204</v>
      </c>
      <c r="H215">
        <f t="shared" si="21"/>
        <v>127.96396534735871</v>
      </c>
      <c r="I215">
        <f t="shared" si="22"/>
        <v>100.9728409175537</v>
      </c>
      <c r="J215">
        <f t="shared" si="23"/>
        <v>4.0389136367021479</v>
      </c>
    </row>
    <row r="216" spans="1:10" x14ac:dyDescent="0.2">
      <c r="A216" s="2">
        <v>4</v>
      </c>
      <c r="B216" s="2">
        <v>16</v>
      </c>
      <c r="C216" s="2">
        <v>4</v>
      </c>
      <c r="D216" s="2">
        <v>4</v>
      </c>
      <c r="E216">
        <f t="shared" si="18"/>
        <v>34.166666666666579</v>
      </c>
      <c r="F216">
        <f t="shared" si="19"/>
        <v>0.56944444444444298</v>
      </c>
      <c r="G216">
        <f t="shared" si="20"/>
        <v>129.75645894459268</v>
      </c>
      <c r="H216">
        <f t="shared" si="21"/>
        <v>127.96396534735871</v>
      </c>
      <c r="I216">
        <f t="shared" si="22"/>
        <v>101.40077997143042</v>
      </c>
      <c r="J216">
        <f t="shared" si="23"/>
        <v>4.0560311988572169</v>
      </c>
    </row>
    <row r="217" spans="1:10" x14ac:dyDescent="0.2">
      <c r="A217" s="2">
        <v>4</v>
      </c>
      <c r="B217" s="2">
        <v>16</v>
      </c>
      <c r="C217" s="2">
        <v>4</v>
      </c>
      <c r="D217" s="2">
        <v>4</v>
      </c>
      <c r="E217">
        <f t="shared" si="18"/>
        <v>34.333333333333243</v>
      </c>
      <c r="F217">
        <f t="shared" si="19"/>
        <v>0.57222222222222074</v>
      </c>
      <c r="G217">
        <f t="shared" si="20"/>
        <v>130.24989468520235</v>
      </c>
      <c r="H217">
        <f t="shared" si="21"/>
        <v>127.96396534735871</v>
      </c>
      <c r="I217">
        <f t="shared" si="22"/>
        <v>101.78638519964467</v>
      </c>
      <c r="J217">
        <f t="shared" si="23"/>
        <v>4.0714554079857868</v>
      </c>
    </row>
    <row r="218" spans="1:10" x14ac:dyDescent="0.2">
      <c r="A218" s="2">
        <v>4</v>
      </c>
      <c r="B218" s="2">
        <v>16</v>
      </c>
      <c r="C218" s="2">
        <v>4</v>
      </c>
      <c r="D218" s="2">
        <v>4</v>
      </c>
      <c r="E218">
        <f t="shared" si="18"/>
        <v>34.499999999999908</v>
      </c>
      <c r="F218">
        <f t="shared" si="19"/>
        <v>0.57499999999999851</v>
      </c>
      <c r="G218">
        <f t="shared" si="20"/>
        <v>130.69451734733886</v>
      </c>
      <c r="H218">
        <f t="shared" si="21"/>
        <v>127.96396534735871</v>
      </c>
      <c r="I218">
        <f t="shared" si="22"/>
        <v>102.13384447142448</v>
      </c>
      <c r="J218">
        <f t="shared" si="23"/>
        <v>4.0853537788569794</v>
      </c>
    </row>
    <row r="219" spans="1:10" x14ac:dyDescent="0.2">
      <c r="A219" s="2">
        <v>4</v>
      </c>
      <c r="B219" s="2">
        <v>16</v>
      </c>
      <c r="C219" s="2">
        <v>4</v>
      </c>
      <c r="D219" s="2">
        <v>4</v>
      </c>
      <c r="E219">
        <f t="shared" si="18"/>
        <v>34.666666666666579</v>
      </c>
      <c r="F219">
        <f t="shared" si="19"/>
        <v>0.57777777777777628</v>
      </c>
      <c r="G219">
        <f t="shared" si="20"/>
        <v>131.09515575962962</v>
      </c>
      <c r="H219">
        <f t="shared" si="21"/>
        <v>127.96396534735871</v>
      </c>
      <c r="I219">
        <f t="shared" si="22"/>
        <v>102.44693137147733</v>
      </c>
      <c r="J219">
        <f t="shared" si="23"/>
        <v>4.0978772548590934</v>
      </c>
    </row>
    <row r="220" spans="1:10" x14ac:dyDescent="0.2">
      <c r="A220" s="2">
        <v>4</v>
      </c>
      <c r="B220" s="2">
        <v>16</v>
      </c>
      <c r="C220" s="2">
        <v>4</v>
      </c>
      <c r="D220" s="2">
        <v>4</v>
      </c>
      <c r="E220">
        <f t="shared" si="18"/>
        <v>34.833333333333243</v>
      </c>
      <c r="F220">
        <f t="shared" si="19"/>
        <v>0.58055555555555405</v>
      </c>
      <c r="G220">
        <f t="shared" si="20"/>
        <v>131.45616105934053</v>
      </c>
      <c r="H220">
        <f t="shared" si="21"/>
        <v>127.96396534735871</v>
      </c>
      <c r="I220">
        <f t="shared" si="22"/>
        <v>102.72904618304241</v>
      </c>
      <c r="J220">
        <f t="shared" si="23"/>
        <v>4.1091618473216966</v>
      </c>
    </row>
    <row r="221" spans="1:10" x14ac:dyDescent="0.2">
      <c r="A221" s="2">
        <v>4</v>
      </c>
      <c r="B221" s="2">
        <v>16</v>
      </c>
      <c r="C221" s="2">
        <v>4</v>
      </c>
      <c r="D221" s="2">
        <v>4</v>
      </c>
      <c r="E221">
        <f t="shared" si="18"/>
        <v>34.999999999999908</v>
      </c>
      <c r="F221">
        <f t="shared" si="19"/>
        <v>0.58333333333333182</v>
      </c>
      <c r="G221">
        <f t="shared" si="20"/>
        <v>131.78145394794348</v>
      </c>
      <c r="H221">
        <f t="shared" si="21"/>
        <v>127.96396534735871</v>
      </c>
      <c r="I221">
        <f t="shared" si="22"/>
        <v>102.98325281669895</v>
      </c>
      <c r="J221">
        <f t="shared" si="23"/>
        <v>4.1193301126679582</v>
      </c>
    </row>
    <row r="222" spans="1:10" x14ac:dyDescent="0.2">
      <c r="A222" s="2">
        <v>4</v>
      </c>
      <c r="B222" s="2">
        <v>32</v>
      </c>
      <c r="C222" s="2">
        <v>4</v>
      </c>
      <c r="D222" s="2">
        <v>4</v>
      </c>
      <c r="E222">
        <f t="shared" si="18"/>
        <v>35.166666666666572</v>
      </c>
      <c r="F222">
        <f t="shared" si="19"/>
        <v>0.58611111111110958</v>
      </c>
      <c r="G222">
        <f t="shared" si="20"/>
        <v>132.07456727193176</v>
      </c>
      <c r="H222">
        <f t="shared" si="21"/>
        <v>127.96396534735871</v>
      </c>
      <c r="I222">
        <f t="shared" si="22"/>
        <v>103.21231208599609</v>
      </c>
      <c r="J222">
        <f t="shared" si="23"/>
        <v>4.1284924834398433</v>
      </c>
    </row>
    <row r="223" spans="1:10" x14ac:dyDescent="0.2">
      <c r="A223" s="2">
        <v>4</v>
      </c>
      <c r="B223" s="2">
        <v>32</v>
      </c>
      <c r="C223" s="2">
        <v>4</v>
      </c>
      <c r="D223" s="2">
        <v>4</v>
      </c>
      <c r="E223">
        <f t="shared" si="18"/>
        <v>35.333333333333243</v>
      </c>
      <c r="F223">
        <f t="shared" si="19"/>
        <v>0.58888888888888735</v>
      </c>
      <c r="G223">
        <f t="shared" si="20"/>
        <v>132.33868439133281</v>
      </c>
      <c r="H223">
        <f t="shared" si="21"/>
        <v>127.96396534735871</v>
      </c>
      <c r="I223">
        <f t="shared" si="22"/>
        <v>103.41871169129442</v>
      </c>
      <c r="J223">
        <f t="shared" si="23"/>
        <v>4.1367484676517767</v>
      </c>
    </row>
    <row r="224" spans="1:10" x14ac:dyDescent="0.2">
      <c r="A224" s="2">
        <v>4</v>
      </c>
      <c r="B224" s="2">
        <v>32</v>
      </c>
      <c r="C224" s="2">
        <v>4</v>
      </c>
      <c r="D224" s="2">
        <v>4</v>
      </c>
      <c r="E224">
        <f t="shared" si="18"/>
        <v>35.499999999999908</v>
      </c>
      <c r="F224">
        <f t="shared" si="19"/>
        <v>0.59166666666666512</v>
      </c>
      <c r="G224">
        <f t="shared" si="20"/>
        <v>132.57667375261991</v>
      </c>
      <c r="H224">
        <f t="shared" si="21"/>
        <v>127.96396534735871</v>
      </c>
      <c r="I224">
        <f t="shared" si="22"/>
        <v>103.60469323745947</v>
      </c>
      <c r="J224">
        <f t="shared" si="23"/>
        <v>4.1441877294983787</v>
      </c>
    </row>
    <row r="225" spans="1:10" x14ac:dyDescent="0.2">
      <c r="A225" s="2">
        <v>4</v>
      </c>
      <c r="B225" s="2">
        <v>32</v>
      </c>
      <c r="C225" s="2">
        <v>4</v>
      </c>
      <c r="D225" s="2">
        <v>4</v>
      </c>
      <c r="E225">
        <f t="shared" si="18"/>
        <v>35.666666666666572</v>
      </c>
      <c r="F225">
        <f t="shared" si="19"/>
        <v>0.59444444444444289</v>
      </c>
      <c r="G225">
        <f t="shared" si="20"/>
        <v>132.79112004150224</v>
      </c>
      <c r="H225">
        <f t="shared" si="21"/>
        <v>127.96396534735871</v>
      </c>
      <c r="I225">
        <f t="shared" si="22"/>
        <v>103.77227657883232</v>
      </c>
      <c r="J225">
        <f t="shared" si="23"/>
        <v>4.1508910631532929</v>
      </c>
    </row>
    <row r="226" spans="1:10" x14ac:dyDescent="0.2">
      <c r="A226" s="2">
        <v>4</v>
      </c>
      <c r="B226" s="2">
        <v>32</v>
      </c>
      <c r="C226" s="2">
        <v>4</v>
      </c>
      <c r="D226" s="2">
        <v>4</v>
      </c>
      <c r="E226">
        <f t="shared" si="18"/>
        <v>35.833333333333236</v>
      </c>
      <c r="F226">
        <f t="shared" si="19"/>
        <v>0.59722222222222066</v>
      </c>
      <c r="G226">
        <f t="shared" si="20"/>
        <v>132.98435225392842</v>
      </c>
      <c r="H226">
        <f t="shared" si="21"/>
        <v>127.96396534735871</v>
      </c>
      <c r="I226">
        <f t="shared" si="22"/>
        <v>103.92328175587701</v>
      </c>
      <c r="J226">
        <f t="shared" si="23"/>
        <v>4.1569312702350807</v>
      </c>
    </row>
    <row r="227" spans="1:10" x14ac:dyDescent="0.2">
      <c r="A227" s="2">
        <v>4</v>
      </c>
      <c r="B227" s="2">
        <v>32</v>
      </c>
      <c r="C227" s="2">
        <v>4</v>
      </c>
      <c r="D227" s="2">
        <v>4</v>
      </c>
      <c r="E227">
        <f t="shared" si="18"/>
        <v>35.999999999999908</v>
      </c>
      <c r="F227">
        <f t="shared" si="19"/>
        <v>0.59999999999999842</v>
      </c>
      <c r="G227">
        <f t="shared" si="20"/>
        <v>133.1584689901691</v>
      </c>
      <c r="H227">
        <f t="shared" si="21"/>
        <v>127.96396534735871</v>
      </c>
      <c r="I227">
        <f t="shared" si="22"/>
        <v>104.05934876174703</v>
      </c>
      <c r="J227">
        <f t="shared" si="23"/>
        <v>4.1623739504698811</v>
      </c>
    </row>
    <row r="228" spans="1:10" x14ac:dyDescent="0.2">
      <c r="A228" s="2">
        <v>4</v>
      </c>
      <c r="B228" s="2">
        <v>32</v>
      </c>
      <c r="C228" s="2">
        <v>4</v>
      </c>
      <c r="D228" s="2">
        <v>4</v>
      </c>
      <c r="E228">
        <f t="shared" si="18"/>
        <v>36.166666666666572</v>
      </c>
      <c r="F228">
        <f t="shared" si="19"/>
        <v>0.60277777777777619</v>
      </c>
      <c r="G228">
        <f t="shared" si="20"/>
        <v>133.315361246685</v>
      </c>
      <c r="H228">
        <f t="shared" si="21"/>
        <v>127.96396534735871</v>
      </c>
      <c r="I228">
        <f t="shared" si="22"/>
        <v>104.1819553534465</v>
      </c>
      <c r="J228">
        <f t="shared" si="23"/>
        <v>4.1672782141378599</v>
      </c>
    </row>
    <row r="229" spans="1:10" x14ac:dyDescent="0.2">
      <c r="A229" s="2">
        <v>4</v>
      </c>
      <c r="B229" s="2">
        <v>32</v>
      </c>
      <c r="C229" s="2">
        <v>4</v>
      </c>
      <c r="D229" s="2">
        <v>4</v>
      </c>
      <c r="E229">
        <f t="shared" si="18"/>
        <v>36.333333333333236</v>
      </c>
      <c r="F229">
        <f t="shared" si="19"/>
        <v>0.60555555555555396</v>
      </c>
      <c r="G229">
        <f t="shared" si="20"/>
        <v>133.45673295331193</v>
      </c>
      <c r="H229">
        <f t="shared" si="21"/>
        <v>127.96396534735871</v>
      </c>
      <c r="I229">
        <f t="shared" si="22"/>
        <v>104.29243310102424</v>
      </c>
      <c r="J229">
        <f t="shared" si="23"/>
        <v>4.17169732404097</v>
      </c>
    </row>
    <row r="230" spans="1:10" x14ac:dyDescent="0.2">
      <c r="A230" s="2">
        <v>4</v>
      </c>
      <c r="B230" s="2">
        <v>32</v>
      </c>
      <c r="C230" s="2">
        <v>4</v>
      </c>
      <c r="D230" s="2">
        <v>4</v>
      </c>
      <c r="E230">
        <f t="shared" si="18"/>
        <v>36.499999999999901</v>
      </c>
      <c r="F230">
        <f t="shared" si="19"/>
        <v>0.60833333333333173</v>
      </c>
      <c r="G230">
        <f t="shared" si="20"/>
        <v>133.5841194788068</v>
      </c>
      <c r="H230">
        <f t="shared" si="21"/>
        <v>127.96396534735871</v>
      </c>
      <c r="I230">
        <f t="shared" si="22"/>
        <v>104.39198184910272</v>
      </c>
      <c r="J230">
        <f t="shared" si="23"/>
        <v>4.1756792739641089</v>
      </c>
    </row>
    <row r="231" spans="1:10" x14ac:dyDescent="0.2">
      <c r="A231" s="2">
        <v>4</v>
      </c>
      <c r="B231" s="2">
        <v>32</v>
      </c>
      <c r="C231" s="2">
        <v>4</v>
      </c>
      <c r="D231" s="2">
        <v>4</v>
      </c>
      <c r="E231">
        <f t="shared" si="18"/>
        <v>36.666666666666572</v>
      </c>
      <c r="F231">
        <f t="shared" si="19"/>
        <v>0.6111111111111095</v>
      </c>
      <c r="G231">
        <f t="shared" si="20"/>
        <v>133.69890430573454</v>
      </c>
      <c r="H231">
        <f t="shared" si="21"/>
        <v>127.96396534735871</v>
      </c>
      <c r="I231">
        <f t="shared" si="22"/>
        <v>104.48168274780194</v>
      </c>
      <c r="J231">
        <f t="shared" si="23"/>
        <v>4.1792673099120776</v>
      </c>
    </row>
    <row r="232" spans="1:10" x14ac:dyDescent="0.2">
      <c r="A232" s="2">
        <v>2</v>
      </c>
      <c r="B232" s="2">
        <v>32</v>
      </c>
      <c r="C232" s="2">
        <v>4</v>
      </c>
      <c r="D232" s="2">
        <v>4</v>
      </c>
      <c r="E232">
        <f t="shared" si="18"/>
        <v>36.833333333333236</v>
      </c>
      <c r="F232">
        <f t="shared" si="19"/>
        <v>0.61388888888888726</v>
      </c>
      <c r="G232">
        <f t="shared" si="20"/>
        <v>133.80233405579366</v>
      </c>
      <c r="H232">
        <f t="shared" si="21"/>
        <v>127.96396534735871</v>
      </c>
      <c r="I232">
        <f t="shared" si="22"/>
        <v>104.56250999458065</v>
      </c>
      <c r="J232">
        <f t="shared" si="23"/>
        <v>4.1825003997832262</v>
      </c>
    </row>
    <row r="233" spans="1:10" x14ac:dyDescent="0.2">
      <c r="A233" s="2">
        <v>2</v>
      </c>
      <c r="B233" s="2">
        <v>32</v>
      </c>
      <c r="C233" s="2">
        <v>4</v>
      </c>
      <c r="D233" s="2">
        <v>4</v>
      </c>
      <c r="E233">
        <f t="shared" si="18"/>
        <v>36.999999999999901</v>
      </c>
      <c r="F233">
        <f t="shared" si="19"/>
        <v>0.61666666666666503</v>
      </c>
      <c r="G233">
        <f t="shared" si="20"/>
        <v>133.89553202876291</v>
      </c>
      <c r="H233">
        <f t="shared" si="21"/>
        <v>127.96396534735871</v>
      </c>
      <c r="I233">
        <f t="shared" si="22"/>
        <v>104.63534141451693</v>
      </c>
      <c r="J233">
        <f t="shared" si="23"/>
        <v>4.1854136565806774</v>
      </c>
    </row>
    <row r="234" spans="1:10" x14ac:dyDescent="0.2">
      <c r="A234" s="2">
        <v>2</v>
      </c>
      <c r="B234" s="2">
        <v>32</v>
      </c>
      <c r="C234" s="2">
        <v>4</v>
      </c>
      <c r="D234" s="2">
        <v>4</v>
      </c>
      <c r="E234">
        <f t="shared" si="18"/>
        <v>37.166666666666565</v>
      </c>
      <c r="F234">
        <f t="shared" si="19"/>
        <v>0.6194444444444428</v>
      </c>
      <c r="G234">
        <f t="shared" si="20"/>
        <v>133.97951040210918</v>
      </c>
      <c r="H234">
        <f t="shared" si="21"/>
        <v>127.96396534735871</v>
      </c>
      <c r="I234">
        <f t="shared" si="22"/>
        <v>104.70096799393585</v>
      </c>
      <c r="J234">
        <f t="shared" si="23"/>
        <v>4.1880387197574338</v>
      </c>
    </row>
    <row r="235" spans="1:10" x14ac:dyDescent="0.2">
      <c r="A235" s="2">
        <v>2</v>
      </c>
      <c r="B235" s="2">
        <v>32</v>
      </c>
      <c r="C235" s="2">
        <v>4</v>
      </c>
      <c r="D235" s="2">
        <v>4</v>
      </c>
      <c r="E235">
        <f t="shared" si="18"/>
        <v>37.333333333333236</v>
      </c>
      <c r="F235">
        <f t="shared" si="19"/>
        <v>0.62222222222222057</v>
      </c>
      <c r="G235">
        <f t="shared" si="20"/>
        <v>134.05518122375048</v>
      </c>
      <c r="H235">
        <f t="shared" si="21"/>
        <v>127.96396534735871</v>
      </c>
      <c r="I235">
        <f t="shared" si="22"/>
        <v>104.76010247092387</v>
      </c>
      <c r="J235">
        <f t="shared" si="23"/>
        <v>4.1904040988369546</v>
      </c>
    </row>
    <row r="236" spans="1:10" x14ac:dyDescent="0.2">
      <c r="A236" s="2">
        <v>2</v>
      </c>
      <c r="B236" s="2">
        <v>32</v>
      </c>
      <c r="C236" s="2">
        <v>4</v>
      </c>
      <c r="D236" s="2">
        <v>4</v>
      </c>
      <c r="E236">
        <f t="shared" si="18"/>
        <v>37.499999999999901</v>
      </c>
      <c r="F236">
        <f t="shared" si="19"/>
        <v>0.62499999999999833</v>
      </c>
      <c r="G236">
        <f t="shared" si="20"/>
        <v>134.12336631736093</v>
      </c>
      <c r="H236">
        <f t="shared" si="21"/>
        <v>127.96396534735871</v>
      </c>
      <c r="I236">
        <f t="shared" si="22"/>
        <v>104.81338707602761</v>
      </c>
      <c r="J236">
        <f t="shared" si="23"/>
        <v>4.1925354830411043</v>
      </c>
    </row>
    <row r="237" spans="1:10" x14ac:dyDescent="0.2">
      <c r="A237" s="2">
        <v>2</v>
      </c>
      <c r="B237" s="2">
        <v>32</v>
      </c>
      <c r="C237" s="2">
        <v>4</v>
      </c>
      <c r="D237" s="2">
        <v>4</v>
      </c>
      <c r="E237">
        <f t="shared" si="18"/>
        <v>37.666666666666565</v>
      </c>
      <c r="F237">
        <f t="shared" si="19"/>
        <v>0.6277777777777761</v>
      </c>
      <c r="G237">
        <f t="shared" si="20"/>
        <v>134.18480620779459</v>
      </c>
      <c r="H237">
        <f t="shared" si="21"/>
        <v>127.96396534735871</v>
      </c>
      <c r="I237">
        <f t="shared" si="22"/>
        <v>104.86140050720481</v>
      </c>
      <c r="J237">
        <f t="shared" si="23"/>
        <v>4.1944560202881922</v>
      </c>
    </row>
    <row r="238" spans="1:10" x14ac:dyDescent="0.2">
      <c r="A238" s="2">
        <v>2</v>
      </c>
      <c r="B238" s="2">
        <v>32</v>
      </c>
      <c r="C238" s="2">
        <v>4</v>
      </c>
      <c r="D238" s="2">
        <v>4</v>
      </c>
      <c r="E238">
        <f t="shared" si="18"/>
        <v>37.833333333333229</v>
      </c>
      <c r="F238">
        <f t="shared" si="19"/>
        <v>0.63055555555555387</v>
      </c>
      <c r="G238">
        <f t="shared" si="20"/>
        <v>134.2401681635626</v>
      </c>
      <c r="H238">
        <f t="shared" si="21"/>
        <v>127.96396534735871</v>
      </c>
      <c r="I238">
        <f t="shared" si="22"/>
        <v>104.90466421477885</v>
      </c>
      <c r="J238">
        <f t="shared" si="23"/>
        <v>4.1961865685911537</v>
      </c>
    </row>
    <row r="239" spans="1:10" x14ac:dyDescent="0.2">
      <c r="A239" s="2">
        <v>2</v>
      </c>
      <c r="B239" s="2">
        <v>32</v>
      </c>
      <c r="C239" s="2">
        <v>4</v>
      </c>
      <c r="D239" s="2">
        <v>4</v>
      </c>
      <c r="E239">
        <f t="shared" si="18"/>
        <v>37.999999999999901</v>
      </c>
      <c r="F239">
        <f t="shared" si="19"/>
        <v>0.63333333333333164</v>
      </c>
      <c r="G239">
        <f t="shared" si="20"/>
        <v>134.29005344370921</v>
      </c>
      <c r="H239">
        <f t="shared" si="21"/>
        <v>127.96396534735871</v>
      </c>
      <c r="I239">
        <f t="shared" si="22"/>
        <v>104.94364806465501</v>
      </c>
      <c r="J239">
        <f t="shared" si="23"/>
        <v>4.1977459225862006</v>
      </c>
    </row>
    <row r="240" spans="1:10" x14ac:dyDescent="0.2">
      <c r="A240" s="2">
        <v>2</v>
      </c>
      <c r="B240" s="2">
        <v>32</v>
      </c>
      <c r="C240" s="2">
        <v>4</v>
      </c>
      <c r="D240" s="2">
        <v>4</v>
      </c>
      <c r="E240">
        <f t="shared" si="18"/>
        <v>38.166666666666565</v>
      </c>
      <c r="F240">
        <f t="shared" si="19"/>
        <v>0.63611111111110941</v>
      </c>
      <c r="G240">
        <f t="shared" si="20"/>
        <v>134.33500382779124</v>
      </c>
      <c r="H240">
        <f t="shared" si="21"/>
        <v>127.96396534735871</v>
      </c>
      <c r="I240">
        <f t="shared" si="22"/>
        <v>104.97877544130358</v>
      </c>
      <c r="J240">
        <f t="shared" si="23"/>
        <v>4.1991510176521434</v>
      </c>
    </row>
    <row r="241" spans="1:10" x14ac:dyDescent="0.2">
      <c r="A241" s="2">
        <v>2</v>
      </c>
      <c r="B241" s="2">
        <v>32</v>
      </c>
      <c r="C241" s="2">
        <v>4</v>
      </c>
      <c r="D241" s="2">
        <v>4</v>
      </c>
      <c r="E241">
        <f t="shared" si="18"/>
        <v>38.333333333333229</v>
      </c>
      <c r="F241">
        <f t="shared" si="19"/>
        <v>0.63888888888888717</v>
      </c>
      <c r="G241">
        <f t="shared" si="20"/>
        <v>134.37550749988017</v>
      </c>
      <c r="H241">
        <f t="shared" si="21"/>
        <v>127.96396534735871</v>
      </c>
      <c r="I241">
        <f t="shared" si="22"/>
        <v>105.01042784593093</v>
      </c>
      <c r="J241">
        <f t="shared" si="23"/>
        <v>4.2004171138372373</v>
      </c>
    </row>
    <row r="242" spans="1:10" x14ac:dyDescent="0.2">
      <c r="A242" s="2">
        <v>2</v>
      </c>
      <c r="B242" s="2">
        <v>32</v>
      </c>
      <c r="C242" s="2">
        <v>4</v>
      </c>
      <c r="D242" s="2">
        <v>4</v>
      </c>
      <c r="E242">
        <f t="shared" si="18"/>
        <v>38.499999999999893</v>
      </c>
      <c r="F242">
        <f t="shared" si="19"/>
        <v>0.64166666666666494</v>
      </c>
      <c r="G242">
        <f t="shared" si="20"/>
        <v>134.41200435048981</v>
      </c>
      <c r="H242">
        <f t="shared" si="21"/>
        <v>127.96396534735871</v>
      </c>
      <c r="I242">
        <f t="shared" si="22"/>
        <v>105.03894903977684</v>
      </c>
      <c r="J242">
        <f t="shared" si="23"/>
        <v>4.2015579615910736</v>
      </c>
    </row>
    <row r="243" spans="1:10" x14ac:dyDescent="0.2">
      <c r="A243" s="2">
        <v>2</v>
      </c>
      <c r="B243" s="2">
        <v>32</v>
      </c>
      <c r="C243" s="2">
        <v>4</v>
      </c>
      <c r="D243" s="2">
        <v>4</v>
      </c>
      <c r="E243">
        <f t="shared" si="18"/>
        <v>38.666666666666565</v>
      </c>
      <c r="F243">
        <f t="shared" si="19"/>
        <v>0.64444444444444271</v>
      </c>
      <c r="G243">
        <f t="shared" si="20"/>
        <v>134.44489075401137</v>
      </c>
      <c r="H243">
        <f t="shared" si="21"/>
        <v>127.96396534735871</v>
      </c>
      <c r="I243">
        <f t="shared" si="22"/>
        <v>105.06464877753683</v>
      </c>
      <c r="J243">
        <f t="shared" si="23"/>
        <v>4.2025859511014731</v>
      </c>
    </row>
    <row r="244" spans="1:10" x14ac:dyDescent="0.2">
      <c r="A244" s="2">
        <v>2</v>
      </c>
      <c r="B244" s="2">
        <v>32</v>
      </c>
      <c r="C244" s="2">
        <v>4</v>
      </c>
      <c r="D244" s="2">
        <v>4</v>
      </c>
      <c r="E244">
        <f t="shared" si="18"/>
        <v>38.833333333333229</v>
      </c>
      <c r="F244">
        <f t="shared" si="19"/>
        <v>0.64722222222222048</v>
      </c>
      <c r="G244">
        <f t="shared" si="20"/>
        <v>134.47452387354136</v>
      </c>
      <c r="H244">
        <f t="shared" si="21"/>
        <v>127.96396534735871</v>
      </c>
      <c r="I244">
        <f t="shared" si="22"/>
        <v>105.08780617145594</v>
      </c>
      <c r="J244">
        <f t="shared" si="23"/>
        <v>4.2035122468582378</v>
      </c>
    </row>
    <row r="245" spans="1:10" x14ac:dyDescent="0.2">
      <c r="A245" s="2">
        <v>2</v>
      </c>
      <c r="B245" s="2">
        <v>32</v>
      </c>
      <c r="C245" s="2">
        <v>4</v>
      </c>
      <c r="D245" s="2">
        <v>4</v>
      </c>
      <c r="E245">
        <f t="shared" si="18"/>
        <v>38.999999999999893</v>
      </c>
      <c r="F245">
        <f t="shared" si="19"/>
        <v>0.64999999999999825</v>
      </c>
      <c r="G245">
        <f t="shared" si="20"/>
        <v>134.50122553985469</v>
      </c>
      <c r="H245">
        <f t="shared" si="21"/>
        <v>127.96396534735871</v>
      </c>
      <c r="I245">
        <f t="shared" si="22"/>
        <v>105.10867272262981</v>
      </c>
      <c r="J245">
        <f t="shared" si="23"/>
        <v>4.2043469089051921</v>
      </c>
    </row>
    <row r="246" spans="1:10" x14ac:dyDescent="0.2">
      <c r="A246" s="2">
        <v>2</v>
      </c>
      <c r="B246" s="2">
        <v>32</v>
      </c>
      <c r="C246" s="2">
        <v>4</v>
      </c>
      <c r="D246" s="2">
        <v>4</v>
      </c>
      <c r="E246">
        <f t="shared" si="18"/>
        <v>39.166666666666558</v>
      </c>
      <c r="F246">
        <f t="shared" si="19"/>
        <v>0.65277777777777601</v>
      </c>
      <c r="G246">
        <f t="shared" si="20"/>
        <v>134.52528574665092</v>
      </c>
      <c r="H246">
        <f t="shared" si="21"/>
        <v>127.96396534735871</v>
      </c>
      <c r="I246">
        <f t="shared" si="22"/>
        <v>105.12747505243487</v>
      </c>
      <c r="J246">
        <f t="shared" si="23"/>
        <v>4.2050990020973948</v>
      </c>
    </row>
    <row r="247" spans="1:10" x14ac:dyDescent="0.2">
      <c r="A247" s="2">
        <v>2</v>
      </c>
      <c r="B247" s="2">
        <v>32</v>
      </c>
      <c r="C247" s="2">
        <v>4</v>
      </c>
      <c r="D247" s="2">
        <v>4</v>
      </c>
      <c r="E247">
        <f t="shared" si="18"/>
        <v>39.333333333333229</v>
      </c>
      <c r="F247">
        <f t="shared" si="19"/>
        <v>0.65555555555555378</v>
      </c>
      <c r="G247">
        <f t="shared" si="20"/>
        <v>134.54696580003352</v>
      </c>
      <c r="H247">
        <f t="shared" si="21"/>
        <v>127.96396534735871</v>
      </c>
      <c r="I247">
        <f t="shared" si="22"/>
        <v>105.14441736375176</v>
      </c>
      <c r="J247">
        <f t="shared" si="23"/>
        <v>4.2057766945500701</v>
      </c>
    </row>
    <row r="248" spans="1:10" x14ac:dyDescent="0.2">
      <c r="A248" s="2">
        <v>2</v>
      </c>
      <c r="B248" s="2">
        <v>32</v>
      </c>
      <c r="C248" s="2">
        <v>4</v>
      </c>
      <c r="D248" s="2">
        <v>4</v>
      </c>
      <c r="E248">
        <f t="shared" si="18"/>
        <v>39.499999999999893</v>
      </c>
      <c r="F248">
        <f t="shared" si="19"/>
        <v>0.65833333333333155</v>
      </c>
      <c r="G248">
        <f t="shared" si="20"/>
        <v>134.56650115642728</v>
      </c>
      <c r="H248">
        <f t="shared" si="21"/>
        <v>127.96396534735871</v>
      </c>
      <c r="I248">
        <f t="shared" si="22"/>
        <v>105.15968365871279</v>
      </c>
      <c r="J248">
        <f t="shared" si="23"/>
        <v>4.206387346348512</v>
      </c>
    </row>
    <row r="249" spans="1:10" x14ac:dyDescent="0.2">
      <c r="A249" s="2">
        <v>2</v>
      </c>
      <c r="B249" s="2">
        <v>32</v>
      </c>
      <c r="C249" s="2">
        <v>4</v>
      </c>
      <c r="D249" s="2">
        <v>4</v>
      </c>
      <c r="E249">
        <f t="shared" si="18"/>
        <v>39.666666666666558</v>
      </c>
      <c r="F249">
        <f t="shared" si="19"/>
        <v>0.66111111111110932</v>
      </c>
      <c r="G249">
        <f t="shared" si="20"/>
        <v>134.58410397975507</v>
      </c>
      <c r="H249">
        <f t="shared" si="21"/>
        <v>127.96396534735871</v>
      </c>
      <c r="I249">
        <f t="shared" si="22"/>
        <v>105.17343973705877</v>
      </c>
      <c r="J249">
        <f t="shared" si="23"/>
        <v>4.2069375894823509</v>
      </c>
    </row>
    <row r="250" spans="1:10" x14ac:dyDescent="0.2">
      <c r="A250" s="2">
        <v>1</v>
      </c>
      <c r="B250" s="2">
        <v>32</v>
      </c>
      <c r="C250" s="2">
        <v>4</v>
      </c>
      <c r="D250" s="2">
        <v>4</v>
      </c>
      <c r="E250">
        <f t="shared" si="18"/>
        <v>39.833333333333222</v>
      </c>
      <c r="F250">
        <f t="shared" si="19"/>
        <v>0.66388888888888709</v>
      </c>
      <c r="G250">
        <f t="shared" si="20"/>
        <v>134.59996544564618</v>
      </c>
      <c r="H250">
        <f t="shared" si="21"/>
        <v>127.96396534735871</v>
      </c>
      <c r="I250">
        <f t="shared" si="22"/>
        <v>105.18583499680869</v>
      </c>
      <c r="J250">
        <f t="shared" si="23"/>
        <v>4.2074333998723477</v>
      </c>
    </row>
    <row r="251" spans="1:10" x14ac:dyDescent="0.2">
      <c r="A251" s="2">
        <v>1</v>
      </c>
      <c r="B251" s="2">
        <v>32</v>
      </c>
      <c r="C251" s="2">
        <v>4</v>
      </c>
      <c r="D251" s="2">
        <v>4</v>
      </c>
      <c r="E251">
        <f t="shared" si="18"/>
        <v>39.999999999999893</v>
      </c>
      <c r="F251">
        <f t="shared" si="19"/>
        <v>0.66666666666666485</v>
      </c>
      <c r="G251">
        <f t="shared" si="20"/>
        <v>134.61425781770089</v>
      </c>
      <c r="H251">
        <f t="shared" si="21"/>
        <v>127.96396534735871</v>
      </c>
      <c r="I251">
        <f t="shared" si="22"/>
        <v>105.19700405679828</v>
      </c>
      <c r="J251">
        <f t="shared" si="23"/>
        <v>4.2078801622719313</v>
      </c>
    </row>
    <row r="252" spans="1:10" x14ac:dyDescent="0.2">
      <c r="A252" s="2">
        <v>1</v>
      </c>
      <c r="B252" s="2">
        <v>16</v>
      </c>
      <c r="C252" s="2">
        <v>8</v>
      </c>
      <c r="D252" s="2">
        <v>8</v>
      </c>
      <c r="E252">
        <f t="shared" si="18"/>
        <v>40.166666666666558</v>
      </c>
      <c r="F252">
        <f t="shared" si="19"/>
        <v>0.66944444444444262</v>
      </c>
      <c r="G252">
        <f t="shared" si="20"/>
        <v>147.95671604204429</v>
      </c>
      <c r="H252">
        <f t="shared" si="21"/>
        <v>255.92793069471742</v>
      </c>
      <c r="I252">
        <f t="shared" si="22"/>
        <v>57.811867442687934</v>
      </c>
      <c r="J252">
        <f t="shared" si="23"/>
        <v>4.6249493954150349</v>
      </c>
    </row>
    <row r="253" spans="1:10" x14ac:dyDescent="0.2">
      <c r="A253" s="2">
        <v>1</v>
      </c>
      <c r="B253" s="2">
        <v>16</v>
      </c>
      <c r="C253" s="2">
        <v>8</v>
      </c>
      <c r="D253" s="2">
        <v>8</v>
      </c>
      <c r="E253">
        <f t="shared" si="18"/>
        <v>40.333333333333222</v>
      </c>
      <c r="F253">
        <f t="shared" si="19"/>
        <v>0.67222222222222039</v>
      </c>
      <c r="G253">
        <f t="shared" si="20"/>
        <v>159.97927299712643</v>
      </c>
      <c r="H253">
        <f t="shared" si="21"/>
        <v>255.92793069471742</v>
      </c>
      <c r="I253">
        <f t="shared" si="22"/>
        <v>62.509501234531939</v>
      </c>
      <c r="J253">
        <f t="shared" si="23"/>
        <v>5.0007600987625551</v>
      </c>
    </row>
    <row r="254" spans="1:10" x14ac:dyDescent="0.2">
      <c r="A254" s="2">
        <v>1</v>
      </c>
      <c r="B254" s="2">
        <v>16</v>
      </c>
      <c r="C254" s="2">
        <v>8</v>
      </c>
      <c r="D254" s="2">
        <v>8</v>
      </c>
      <c r="E254">
        <f t="shared" si="18"/>
        <v>40.499999999999886</v>
      </c>
      <c r="F254">
        <f t="shared" si="19"/>
        <v>0.67499999999999816</v>
      </c>
      <c r="G254">
        <f t="shared" si="20"/>
        <v>170.81249977646729</v>
      </c>
      <c r="H254">
        <f t="shared" si="21"/>
        <v>255.92793069471742</v>
      </c>
      <c r="I254">
        <f t="shared" si="22"/>
        <v>66.742422100157668</v>
      </c>
      <c r="J254">
        <f t="shared" si="23"/>
        <v>5.3393937680126138</v>
      </c>
    </row>
    <row r="255" spans="1:10" x14ac:dyDescent="0.2">
      <c r="A255" s="2">
        <v>1</v>
      </c>
      <c r="B255" s="2">
        <v>16</v>
      </c>
      <c r="C255" s="2">
        <v>8</v>
      </c>
      <c r="D255" s="2">
        <v>8</v>
      </c>
      <c r="E255">
        <f t="shared" si="18"/>
        <v>40.666666666666558</v>
      </c>
      <c r="F255">
        <f t="shared" si="19"/>
        <v>0.67777777777777592</v>
      </c>
      <c r="G255">
        <f t="shared" si="20"/>
        <v>180.57405074196458</v>
      </c>
      <c r="H255">
        <f t="shared" si="21"/>
        <v>255.92793069471742</v>
      </c>
      <c r="I255">
        <f t="shared" si="22"/>
        <v>70.556601716661234</v>
      </c>
      <c r="J255">
        <f t="shared" si="23"/>
        <v>5.644528137332899</v>
      </c>
    </row>
    <row r="256" spans="1:10" x14ac:dyDescent="0.2">
      <c r="A256" s="2">
        <v>1</v>
      </c>
      <c r="B256" s="2">
        <v>16</v>
      </c>
      <c r="C256" s="2">
        <v>8</v>
      </c>
      <c r="D256" s="2">
        <v>8</v>
      </c>
      <c r="E256">
        <f t="shared" si="18"/>
        <v>40.833333333333222</v>
      </c>
      <c r="F256">
        <f t="shared" si="19"/>
        <v>0.68055555555555369</v>
      </c>
      <c r="G256">
        <f t="shared" si="20"/>
        <v>189.36994131020381</v>
      </c>
      <c r="H256">
        <f t="shared" si="21"/>
        <v>255.92793069471742</v>
      </c>
      <c r="I256">
        <f t="shared" si="22"/>
        <v>73.993464017842186</v>
      </c>
      <c r="J256">
        <f t="shared" si="23"/>
        <v>5.9194771214273745</v>
      </c>
    </row>
    <row r="257" spans="1:10" x14ac:dyDescent="0.2">
      <c r="A257" s="2">
        <v>1</v>
      </c>
      <c r="B257" s="2">
        <v>16</v>
      </c>
      <c r="C257" s="2">
        <v>8</v>
      </c>
      <c r="D257" s="2">
        <v>8</v>
      </c>
      <c r="E257">
        <f t="shared" si="18"/>
        <v>40.999999999999886</v>
      </c>
      <c r="F257">
        <f t="shared" si="19"/>
        <v>0.68333333333333146</v>
      </c>
      <c r="G257">
        <f t="shared" si="20"/>
        <v>197.29569933389288</v>
      </c>
      <c r="H257">
        <f t="shared" si="21"/>
        <v>255.92793069471742</v>
      </c>
      <c r="I257">
        <f t="shared" si="22"/>
        <v>77.090335079228325</v>
      </c>
      <c r="J257">
        <f t="shared" si="23"/>
        <v>6.1672268063382658</v>
      </c>
    </row>
    <row r="258" spans="1:10" x14ac:dyDescent="0.2">
      <c r="A258" s="2">
        <v>1</v>
      </c>
      <c r="B258" s="2">
        <v>16</v>
      </c>
      <c r="C258" s="2">
        <v>8</v>
      </c>
      <c r="D258" s="2">
        <v>8</v>
      </c>
      <c r="E258">
        <f t="shared" si="18"/>
        <v>41.166666666666551</v>
      </c>
      <c r="F258">
        <f t="shared" si="19"/>
        <v>0.68611111111110923</v>
      </c>
      <c r="G258">
        <f t="shared" si="20"/>
        <v>204.43740258300988</v>
      </c>
      <c r="H258">
        <f t="shared" si="21"/>
        <v>255.92793069471742</v>
      </c>
      <c r="I258">
        <f t="shared" si="22"/>
        <v>79.880848498272044</v>
      </c>
      <c r="J258">
        <f t="shared" si="23"/>
        <v>6.3904678798617631</v>
      </c>
    </row>
    <row r="259" spans="1:10" x14ac:dyDescent="0.2">
      <c r="A259" s="2">
        <v>1</v>
      </c>
      <c r="B259" s="2">
        <v>16</v>
      </c>
      <c r="C259" s="2">
        <v>8</v>
      </c>
      <c r="D259" s="2">
        <v>8</v>
      </c>
      <c r="E259">
        <f t="shared" si="18"/>
        <v>41.333333333333222</v>
      </c>
      <c r="F259">
        <f t="shared" si="19"/>
        <v>0.688888888888887</v>
      </c>
      <c r="G259">
        <f t="shared" si="20"/>
        <v>210.87261359323807</v>
      </c>
      <c r="H259">
        <f t="shared" si="21"/>
        <v>255.92793069471742</v>
      </c>
      <c r="I259">
        <f t="shared" si="22"/>
        <v>82.395310672353546</v>
      </c>
      <c r="J259">
        <f t="shared" si="23"/>
        <v>6.591624853788284</v>
      </c>
    </row>
    <row r="260" spans="1:10" x14ac:dyDescent="0.2">
      <c r="A260" s="2">
        <v>1</v>
      </c>
      <c r="B260" s="2">
        <v>16</v>
      </c>
      <c r="C260" s="2">
        <v>8</v>
      </c>
      <c r="D260" s="2">
        <v>8</v>
      </c>
      <c r="E260">
        <f t="shared" si="18"/>
        <v>41.499999999999886</v>
      </c>
      <c r="F260">
        <f t="shared" si="19"/>
        <v>0.69166666666666476</v>
      </c>
      <c r="G260">
        <f t="shared" si="20"/>
        <v>216.67122203461824</v>
      </c>
      <c r="H260">
        <f t="shared" si="21"/>
        <v>255.92793069471742</v>
      </c>
      <c r="I260">
        <f t="shared" si="22"/>
        <v>84.661029941696214</v>
      </c>
      <c r="J260">
        <f t="shared" si="23"/>
        <v>6.7728823953356967</v>
      </c>
    </row>
    <row r="261" spans="1:10" x14ac:dyDescent="0.2">
      <c r="A261" s="2">
        <v>1</v>
      </c>
      <c r="B261" s="2">
        <v>16</v>
      </c>
      <c r="C261" s="2">
        <v>8</v>
      </c>
      <c r="D261" s="2">
        <v>8</v>
      </c>
      <c r="E261">
        <f t="shared" si="18"/>
        <v>41.666666666666551</v>
      </c>
      <c r="F261">
        <f t="shared" si="19"/>
        <v>0.69444444444444253</v>
      </c>
      <c r="G261">
        <f t="shared" si="20"/>
        <v>221.89620374897123</v>
      </c>
      <c r="H261">
        <f t="shared" si="21"/>
        <v>255.92793069471742</v>
      </c>
      <c r="I261">
        <f t="shared" si="22"/>
        <v>86.702613171853912</v>
      </c>
      <c r="J261">
        <f t="shared" si="23"/>
        <v>6.9362090537483132</v>
      </c>
    </row>
    <row r="262" spans="1:10" x14ac:dyDescent="0.2">
      <c r="A262" s="2">
        <v>1</v>
      </c>
      <c r="B262" s="2">
        <v>16</v>
      </c>
      <c r="C262" s="2">
        <v>8</v>
      </c>
      <c r="D262" s="2">
        <v>8</v>
      </c>
      <c r="E262">
        <f t="shared" si="18"/>
        <v>41.833333333333215</v>
      </c>
      <c r="F262">
        <f t="shared" si="19"/>
        <v>0.6972222222222203</v>
      </c>
      <c r="G262">
        <f t="shared" si="20"/>
        <v>226.60430469962367</v>
      </c>
      <c r="H262">
        <f t="shared" si="21"/>
        <v>255.92793069471742</v>
      </c>
      <c r="I262">
        <f t="shared" si="22"/>
        <v>88.542232996807087</v>
      </c>
      <c r="J262">
        <f t="shared" si="23"/>
        <v>7.0833786397445673</v>
      </c>
    </row>
    <row r="263" spans="1:10" x14ac:dyDescent="0.2">
      <c r="A263" s="2">
        <v>1</v>
      </c>
      <c r="B263" s="2">
        <v>16</v>
      </c>
      <c r="C263" s="2">
        <v>8</v>
      </c>
      <c r="D263" s="2">
        <v>8</v>
      </c>
      <c r="E263">
        <f t="shared" si="18"/>
        <v>41.999999999999886</v>
      </c>
      <c r="F263">
        <f t="shared" si="19"/>
        <v>0.69999999999999807</v>
      </c>
      <c r="G263">
        <f t="shared" si="20"/>
        <v>230.84665726147932</v>
      </c>
      <c r="H263">
        <f t="shared" si="21"/>
        <v>255.92793069471742</v>
      </c>
      <c r="I263">
        <f t="shared" si="22"/>
        <v>90.199868625063743</v>
      </c>
      <c r="J263">
        <f t="shared" si="23"/>
        <v>7.2159894900050991</v>
      </c>
    </row>
    <row r="264" spans="1:10" x14ac:dyDescent="0.2">
      <c r="A264" s="2">
        <v>1</v>
      </c>
      <c r="B264" s="2">
        <v>16</v>
      </c>
      <c r="C264" s="2">
        <v>8</v>
      </c>
      <c r="D264" s="2">
        <v>8</v>
      </c>
      <c r="E264">
        <f t="shared" si="18"/>
        <v>42.166666666666551</v>
      </c>
      <c r="F264">
        <f t="shared" si="19"/>
        <v>0.70277777777777584</v>
      </c>
      <c r="G264">
        <f t="shared" si="20"/>
        <v>234.66933554466041</v>
      </c>
      <c r="H264">
        <f t="shared" si="21"/>
        <v>255.92793069471742</v>
      </c>
      <c r="I264">
        <f t="shared" si="22"/>
        <v>91.693522824042503</v>
      </c>
      <c r="J264">
        <f t="shared" si="23"/>
        <v>7.3354818259234005</v>
      </c>
    </row>
    <row r="265" spans="1:10" x14ac:dyDescent="0.2">
      <c r="A265" s="2">
        <v>1</v>
      </c>
      <c r="B265" s="2">
        <v>16</v>
      </c>
      <c r="C265" s="2">
        <v>8</v>
      </c>
      <c r="D265" s="2">
        <v>8</v>
      </c>
      <c r="E265">
        <f t="shared" si="18"/>
        <v>42.333333333333215</v>
      </c>
      <c r="F265">
        <f t="shared" si="19"/>
        <v>0.7055555555555536</v>
      </c>
      <c r="G265">
        <f t="shared" si="20"/>
        <v>238.11385578281627</v>
      </c>
      <c r="H265">
        <f t="shared" si="21"/>
        <v>255.92793069471742</v>
      </c>
      <c r="I265">
        <f t="shared" si="22"/>
        <v>93.039417439298333</v>
      </c>
      <c r="J265">
        <f t="shared" si="23"/>
        <v>7.4431533951438666</v>
      </c>
    </row>
    <row r="266" spans="1:10" x14ac:dyDescent="0.2">
      <c r="A266" s="2">
        <v>1</v>
      </c>
      <c r="B266" s="2">
        <v>16</v>
      </c>
      <c r="C266" s="2">
        <v>8</v>
      </c>
      <c r="D266" s="2">
        <v>8</v>
      </c>
      <c r="E266">
        <f t="shared" si="18"/>
        <v>42.499999999999879</v>
      </c>
      <c r="F266">
        <f t="shared" si="19"/>
        <v>0.70833333333333137</v>
      </c>
      <c r="G266">
        <f t="shared" si="20"/>
        <v>241.2176272205717</v>
      </c>
      <c r="H266">
        <f t="shared" si="21"/>
        <v>255.92793069471742</v>
      </c>
      <c r="I266">
        <f t="shared" si="22"/>
        <v>94.2521695720297</v>
      </c>
      <c r="J266">
        <f t="shared" si="23"/>
        <v>7.5401735657623759</v>
      </c>
    </row>
    <row r="267" spans="1:10" x14ac:dyDescent="0.2">
      <c r="A267" s="2">
        <v>1</v>
      </c>
      <c r="B267" s="2">
        <v>16</v>
      </c>
      <c r="C267" s="2">
        <v>8</v>
      </c>
      <c r="D267" s="2">
        <v>8</v>
      </c>
      <c r="E267">
        <f t="shared" si="18"/>
        <v>42.666666666666551</v>
      </c>
      <c r="F267">
        <f t="shared" si="19"/>
        <v>0.71111111111110914</v>
      </c>
      <c r="G267">
        <f t="shared" si="20"/>
        <v>244.01435839698189</v>
      </c>
      <c r="H267">
        <f t="shared" si="21"/>
        <v>255.92793069471742</v>
      </c>
      <c r="I267">
        <f t="shared" si="22"/>
        <v>95.344950328244323</v>
      </c>
      <c r="J267">
        <f t="shared" si="23"/>
        <v>7.6275960262595461</v>
      </c>
    </row>
    <row r="268" spans="1:10" x14ac:dyDescent="0.2">
      <c r="A268" s="2">
        <v>0.5</v>
      </c>
      <c r="B268" s="2">
        <v>16</v>
      </c>
      <c r="C268" s="2">
        <v>8</v>
      </c>
      <c r="D268" s="2">
        <v>8</v>
      </c>
      <c r="E268">
        <f t="shared" ref="E268:E331" si="24">F268*60</f>
        <v>42.833333333333215</v>
      </c>
      <c r="F268">
        <f t="shared" ref="F268:F331" si="25">Tsamp+F267</f>
        <v>0.71388888888888691</v>
      </c>
      <c r="G268">
        <f t="shared" ref="G268:G331" si="26">Tsamp*$D268*G$3/G$5+G$8*G267</f>
        <v>246.53442323743974</v>
      </c>
      <c r="H268">
        <f t="shared" ref="H268:H331" si="27">$D268*$G$3/$G$6</f>
        <v>255.92793069471742</v>
      </c>
      <c r="I268">
        <f t="shared" ref="I268:I331" si="28">G268/H268*100</f>
        <v>96.329627863680628</v>
      </c>
      <c r="J268">
        <f t="shared" si="23"/>
        <v>7.7063702290944498</v>
      </c>
    </row>
    <row r="269" spans="1:10" x14ac:dyDescent="0.2">
      <c r="A269" s="2">
        <v>0.5</v>
      </c>
      <c r="B269" s="2">
        <v>16</v>
      </c>
      <c r="C269" s="2">
        <v>8</v>
      </c>
      <c r="D269" s="2">
        <v>8</v>
      </c>
      <c r="E269">
        <f t="shared" si="24"/>
        <v>42.999999999999879</v>
      </c>
      <c r="F269">
        <f t="shared" si="25"/>
        <v>0.71666666666666468</v>
      </c>
      <c r="G269">
        <f t="shared" si="26"/>
        <v>248.8051909299798</v>
      </c>
      <c r="H269">
        <f t="shared" si="27"/>
        <v>255.92793069471742</v>
      </c>
      <c r="I269">
        <f t="shared" si="28"/>
        <v>97.21689627802526</v>
      </c>
      <c r="J269">
        <f t="shared" ref="J269:J332" si="29">($I269/100)*$D269</f>
        <v>7.7773517022420204</v>
      </c>
    </row>
    <row r="270" spans="1:10" x14ac:dyDescent="0.2">
      <c r="A270" s="2">
        <v>0.5</v>
      </c>
      <c r="B270" s="2">
        <v>16</v>
      </c>
      <c r="C270" s="2">
        <v>8</v>
      </c>
      <c r="D270" s="2">
        <v>8</v>
      </c>
      <c r="E270">
        <f t="shared" si="24"/>
        <v>43.166666666666544</v>
      </c>
      <c r="F270">
        <f t="shared" si="25"/>
        <v>0.71944444444444244</v>
      </c>
      <c r="G270">
        <f t="shared" si="26"/>
        <v>250.85132316860384</v>
      </c>
      <c r="H270">
        <f t="shared" si="27"/>
        <v>255.92793069471742</v>
      </c>
      <c r="I270">
        <f t="shared" si="28"/>
        <v>98.016391758284016</v>
      </c>
      <c r="J270">
        <f t="shared" si="29"/>
        <v>7.8413113406627213</v>
      </c>
    </row>
    <row r="271" spans="1:10" x14ac:dyDescent="0.2">
      <c r="A271" s="2">
        <v>0.5</v>
      </c>
      <c r="B271" s="2">
        <v>16</v>
      </c>
      <c r="C271" s="2">
        <v>8</v>
      </c>
      <c r="D271" s="2">
        <v>8</v>
      </c>
      <c r="E271">
        <f t="shared" si="24"/>
        <v>43.333333333333215</v>
      </c>
      <c r="F271">
        <f t="shared" si="25"/>
        <v>0.72222222222222021</v>
      </c>
      <c r="G271">
        <f t="shared" si="26"/>
        <v>252.69504199184172</v>
      </c>
      <c r="H271">
        <f t="shared" si="27"/>
        <v>255.92793069471742</v>
      </c>
      <c r="I271">
        <f t="shared" si="28"/>
        <v>98.736797232681866</v>
      </c>
      <c r="J271">
        <f t="shared" si="29"/>
        <v>7.8989437786145489</v>
      </c>
    </row>
    <row r="272" spans="1:10" x14ac:dyDescent="0.2">
      <c r="A272" s="2">
        <v>0.5</v>
      </c>
      <c r="B272" s="2">
        <v>16</v>
      </c>
      <c r="C272" s="2">
        <v>8</v>
      </c>
      <c r="D272" s="2">
        <v>8</v>
      </c>
      <c r="E272">
        <f t="shared" si="24"/>
        <v>43.499999999999879</v>
      </c>
      <c r="F272">
        <f t="shared" si="25"/>
        <v>0.72499999999999798</v>
      </c>
      <c r="G272">
        <f t="shared" si="26"/>
        <v>254.35637112541113</v>
      </c>
      <c r="H272">
        <f t="shared" si="27"/>
        <v>255.92793069471742</v>
      </c>
      <c r="I272">
        <f t="shared" si="28"/>
        <v>99.385936671687119</v>
      </c>
      <c r="J272">
        <f t="shared" si="29"/>
        <v>7.9508749337349691</v>
      </c>
    </row>
    <row r="273" spans="1:10" x14ac:dyDescent="0.2">
      <c r="A273" s="2">
        <v>0.5</v>
      </c>
      <c r="B273" s="2">
        <v>16</v>
      </c>
      <c r="C273" s="2">
        <v>8</v>
      </c>
      <c r="D273" s="2">
        <v>8</v>
      </c>
      <c r="E273">
        <f t="shared" si="24"/>
        <v>43.666666666666544</v>
      </c>
      <c r="F273">
        <f t="shared" si="25"/>
        <v>0.72777777777777575</v>
      </c>
      <c r="G273">
        <f t="shared" si="26"/>
        <v>255.85335345008005</v>
      </c>
      <c r="H273">
        <f t="shared" si="27"/>
        <v>255.92793069471742</v>
      </c>
      <c r="I273">
        <f t="shared" si="28"/>
        <v>99.97086006031661</v>
      </c>
      <c r="J273">
        <f t="shared" si="29"/>
        <v>7.997668804825329</v>
      </c>
    </row>
    <row r="274" spans="1:10" x14ac:dyDescent="0.2">
      <c r="A274" s="2">
        <v>0.5</v>
      </c>
      <c r="B274" s="2">
        <v>16</v>
      </c>
      <c r="C274" s="2">
        <v>8</v>
      </c>
      <c r="D274" s="2">
        <v>8</v>
      </c>
      <c r="E274">
        <f t="shared" si="24"/>
        <v>43.833333333333208</v>
      </c>
      <c r="F274">
        <f t="shared" si="25"/>
        <v>0.73055555555555352</v>
      </c>
      <c r="G274">
        <f t="shared" si="26"/>
        <v>257.202246956544</v>
      </c>
      <c r="H274">
        <f t="shared" si="27"/>
        <v>255.92793069471742</v>
      </c>
      <c r="I274">
        <f t="shared" si="28"/>
        <v>100.4979199645648</v>
      </c>
      <c r="J274">
        <f t="shared" si="29"/>
        <v>8.0398335971651846</v>
      </c>
    </row>
    <row r="275" spans="1:10" x14ac:dyDescent="0.2">
      <c r="A275" s="2">
        <v>0.5</v>
      </c>
      <c r="B275" s="2">
        <v>16</v>
      </c>
      <c r="C275" s="2">
        <v>8</v>
      </c>
      <c r="D275" s="2">
        <v>8</v>
      </c>
      <c r="E275">
        <f t="shared" si="24"/>
        <v>43.999999999999879</v>
      </c>
      <c r="F275">
        <f t="shared" si="25"/>
        <v>0.73333333333333128</v>
      </c>
      <c r="G275">
        <f t="shared" si="26"/>
        <v>258.41770131548776</v>
      </c>
      <c r="H275">
        <f t="shared" si="27"/>
        <v>255.92793069471742</v>
      </c>
      <c r="I275">
        <f t="shared" si="28"/>
        <v>100.9728405235067</v>
      </c>
      <c r="J275">
        <f t="shared" si="29"/>
        <v>8.0778272418805361</v>
      </c>
    </row>
    <row r="276" spans="1:10" x14ac:dyDescent="0.2">
      <c r="A276" s="2">
        <v>0.5</v>
      </c>
      <c r="B276" s="2">
        <v>16</v>
      </c>
      <c r="C276" s="2">
        <v>8</v>
      </c>
      <c r="D276" s="2">
        <v>8</v>
      </c>
      <c r="E276">
        <f t="shared" si="24"/>
        <v>44.166666666666544</v>
      </c>
      <c r="F276">
        <f t="shared" si="25"/>
        <v>0.73611111111110905</v>
      </c>
      <c r="G276">
        <f t="shared" si="26"/>
        <v>259.51291698047243</v>
      </c>
      <c r="H276">
        <f t="shared" si="27"/>
        <v>255.92793069471742</v>
      </c>
      <c r="I276">
        <f t="shared" si="28"/>
        <v>101.40077961636447</v>
      </c>
      <c r="J276">
        <f t="shared" si="29"/>
        <v>8.1120623693091574</v>
      </c>
    </row>
    <row r="277" spans="1:10" x14ac:dyDescent="0.2">
      <c r="A277" s="2">
        <v>0.5</v>
      </c>
      <c r="B277" s="2">
        <v>16</v>
      </c>
      <c r="C277" s="2">
        <v>8</v>
      </c>
      <c r="D277" s="2">
        <v>8</v>
      </c>
      <c r="E277">
        <f t="shared" si="24"/>
        <v>44.333333333333208</v>
      </c>
      <c r="F277">
        <f t="shared" si="25"/>
        <v>0.73888888888888682</v>
      </c>
      <c r="G277">
        <f t="shared" si="26"/>
        <v>260.49978855158611</v>
      </c>
      <c r="H277">
        <f t="shared" si="27"/>
        <v>255.92793069471742</v>
      </c>
      <c r="I277">
        <f t="shared" si="28"/>
        <v>101.78638487970358</v>
      </c>
      <c r="J277">
        <f t="shared" si="29"/>
        <v>8.1429107903762858</v>
      </c>
    </row>
    <row r="278" spans="1:10" x14ac:dyDescent="0.2">
      <c r="A278" s="2">
        <v>0.5</v>
      </c>
      <c r="B278" s="2">
        <v>16</v>
      </c>
      <c r="C278" s="2">
        <v>8</v>
      </c>
      <c r="D278" s="2">
        <v>8</v>
      </c>
      <c r="E278">
        <f t="shared" si="24"/>
        <v>44.499999999999872</v>
      </c>
      <c r="F278">
        <f t="shared" si="25"/>
        <v>0.74166666666666459</v>
      </c>
      <c r="G278">
        <f t="shared" si="26"/>
        <v>261.38903395686071</v>
      </c>
      <c r="H278">
        <f t="shared" si="27"/>
        <v>255.92793069471742</v>
      </c>
      <c r="I278">
        <f t="shared" si="28"/>
        <v>102.13384418313356</v>
      </c>
      <c r="J278">
        <f t="shared" si="29"/>
        <v>8.1707075346506848</v>
      </c>
    </row>
    <row r="279" spans="1:10" x14ac:dyDescent="0.2">
      <c r="A279" s="2">
        <v>0.5</v>
      </c>
      <c r="B279" s="2">
        <v>16</v>
      </c>
      <c r="C279" s="2">
        <v>8</v>
      </c>
      <c r="D279" s="2">
        <v>8</v>
      </c>
      <c r="E279">
        <f t="shared" si="24"/>
        <v>44.666666666666544</v>
      </c>
      <c r="F279">
        <f t="shared" si="25"/>
        <v>0.74444444444444235</v>
      </c>
      <c r="G279">
        <f t="shared" si="26"/>
        <v>262.19031085443066</v>
      </c>
      <c r="H279">
        <f t="shared" si="27"/>
        <v>255.92793069471742</v>
      </c>
      <c r="I279">
        <f t="shared" si="28"/>
        <v>102.44693111170555</v>
      </c>
      <c r="J279">
        <f t="shared" si="29"/>
        <v>8.1957544889364442</v>
      </c>
    </row>
    <row r="280" spans="1:10" x14ac:dyDescent="0.2">
      <c r="A280" s="2">
        <v>0.5</v>
      </c>
      <c r="B280" s="2">
        <v>16</v>
      </c>
      <c r="C280" s="2">
        <v>8</v>
      </c>
      <c r="D280" s="2">
        <v>8</v>
      </c>
      <c r="E280">
        <f t="shared" si="24"/>
        <v>44.833333333333208</v>
      </c>
      <c r="F280">
        <f t="shared" si="25"/>
        <v>0.74722222222222012</v>
      </c>
      <c r="G280">
        <f t="shared" si="26"/>
        <v>262.91232151962055</v>
      </c>
      <c r="H280">
        <f t="shared" si="27"/>
        <v>255.92793069471742</v>
      </c>
      <c r="I280">
        <f t="shared" si="28"/>
        <v>102.72904594896852</v>
      </c>
      <c r="J280">
        <f t="shared" si="29"/>
        <v>8.2183236759174818</v>
      </c>
    </row>
    <row r="281" spans="1:10" x14ac:dyDescent="0.2">
      <c r="A281" s="2">
        <v>0.5</v>
      </c>
      <c r="B281" s="2">
        <v>16</v>
      </c>
      <c r="C281" s="2">
        <v>8</v>
      </c>
      <c r="D281" s="2">
        <v>8</v>
      </c>
      <c r="E281">
        <f t="shared" si="24"/>
        <v>44.999999999999872</v>
      </c>
      <c r="F281">
        <f t="shared" si="25"/>
        <v>0.74999999999999789</v>
      </c>
      <c r="G281">
        <f t="shared" si="26"/>
        <v>263.56290735608843</v>
      </c>
      <c r="H281">
        <f t="shared" si="27"/>
        <v>255.92793069471742</v>
      </c>
      <c r="I281">
        <f t="shared" si="28"/>
        <v>102.98325260578079</v>
      </c>
      <c r="J281">
        <f t="shared" si="29"/>
        <v>8.2386602084624627</v>
      </c>
    </row>
    <row r="282" spans="1:10" x14ac:dyDescent="0.2">
      <c r="A282" s="2">
        <v>0.5</v>
      </c>
      <c r="B282" s="2">
        <v>8</v>
      </c>
      <c r="C282" s="2">
        <v>8</v>
      </c>
      <c r="D282" s="2">
        <v>8</v>
      </c>
      <c r="E282">
        <f t="shared" si="24"/>
        <v>45.166666666666536</v>
      </c>
      <c r="F282">
        <f t="shared" si="25"/>
        <v>0.75277777777777566</v>
      </c>
      <c r="G282">
        <f t="shared" si="26"/>
        <v>264.14913405746449</v>
      </c>
      <c r="H282">
        <f t="shared" si="27"/>
        <v>255.92793069471742</v>
      </c>
      <c r="I282">
        <f t="shared" si="28"/>
        <v>103.21231189594297</v>
      </c>
      <c r="J282">
        <f t="shared" si="29"/>
        <v>8.2569849516754381</v>
      </c>
    </row>
    <row r="283" spans="1:10" x14ac:dyDescent="0.2">
      <c r="A283" s="2">
        <v>0.5</v>
      </c>
      <c r="B283" s="2">
        <v>8</v>
      </c>
      <c r="C283" s="2">
        <v>8</v>
      </c>
      <c r="D283" s="2">
        <v>8</v>
      </c>
      <c r="E283">
        <f t="shared" si="24"/>
        <v>45.333333333333208</v>
      </c>
      <c r="F283">
        <f t="shared" si="25"/>
        <v>0.75555555555555343</v>
      </c>
      <c r="G283">
        <f t="shared" si="26"/>
        <v>264.67736834438358</v>
      </c>
      <c r="H283">
        <f t="shared" si="27"/>
        <v>255.92793069471742</v>
      </c>
      <c r="I283">
        <f t="shared" si="28"/>
        <v>103.41871152004229</v>
      </c>
      <c r="J283">
        <f t="shared" si="29"/>
        <v>8.2734969216033836</v>
      </c>
    </row>
    <row r="284" spans="1:10" x14ac:dyDescent="0.2">
      <c r="A284" s="2">
        <v>0.5</v>
      </c>
      <c r="B284" s="2">
        <v>8</v>
      </c>
      <c r="C284" s="2">
        <v>8</v>
      </c>
      <c r="D284" s="2">
        <v>8</v>
      </c>
      <c r="E284">
        <f t="shared" si="24"/>
        <v>45.499999999999872</v>
      </c>
      <c r="F284">
        <f t="shared" si="25"/>
        <v>0.75833333333333119</v>
      </c>
      <c r="G284">
        <f t="shared" si="26"/>
        <v>265.15334711031483</v>
      </c>
      <c r="H284">
        <f t="shared" si="27"/>
        <v>255.92793069471742</v>
      </c>
      <c r="I284">
        <f t="shared" si="28"/>
        <v>103.60469308314843</v>
      </c>
      <c r="J284">
        <f t="shared" si="29"/>
        <v>8.2883754466518749</v>
      </c>
    </row>
    <row r="285" spans="1:10" x14ac:dyDescent="0.2">
      <c r="A285" s="2">
        <v>0.5</v>
      </c>
      <c r="B285" s="2">
        <v>8</v>
      </c>
      <c r="C285" s="2">
        <v>8</v>
      </c>
      <c r="D285" s="2">
        <v>8</v>
      </c>
      <c r="E285">
        <f t="shared" si="24"/>
        <v>45.666666666666536</v>
      </c>
      <c r="F285">
        <f t="shared" si="25"/>
        <v>0.76111111111110896</v>
      </c>
      <c r="G285">
        <f t="shared" si="26"/>
        <v>265.5822397271474</v>
      </c>
      <c r="H285">
        <f t="shared" si="27"/>
        <v>255.92793069471742</v>
      </c>
      <c r="I285">
        <f t="shared" si="28"/>
        <v>103.77227643978651</v>
      </c>
      <c r="J285">
        <f t="shared" si="29"/>
        <v>8.3017821151829203</v>
      </c>
    </row>
    <row r="286" spans="1:10" x14ac:dyDescent="0.2">
      <c r="A286" s="2">
        <v>0.5</v>
      </c>
      <c r="B286" s="2">
        <v>8</v>
      </c>
      <c r="C286" s="2">
        <v>8</v>
      </c>
      <c r="D286" s="2">
        <v>8</v>
      </c>
      <c r="E286">
        <f t="shared" si="24"/>
        <v>45.833333333333201</v>
      </c>
      <c r="F286">
        <f t="shared" si="25"/>
        <v>0.76388888888888673</v>
      </c>
      <c r="G286">
        <f t="shared" si="26"/>
        <v>265.96870418720289</v>
      </c>
      <c r="H286">
        <f t="shared" si="27"/>
        <v>255.92793069471742</v>
      </c>
      <c r="I286">
        <f t="shared" si="28"/>
        <v>103.92328163058629</v>
      </c>
      <c r="J286">
        <f t="shared" si="29"/>
        <v>8.3138625304469027</v>
      </c>
    </row>
    <row r="287" spans="1:10" x14ac:dyDescent="0.2">
      <c r="A287" s="2">
        <v>0.5</v>
      </c>
      <c r="B287" s="2">
        <v>8</v>
      </c>
      <c r="C287" s="2">
        <v>8</v>
      </c>
      <c r="D287" s="2">
        <v>8</v>
      </c>
      <c r="E287">
        <f t="shared" si="24"/>
        <v>45.999999999999872</v>
      </c>
      <c r="F287">
        <f t="shared" si="25"/>
        <v>0.7666666666666645</v>
      </c>
      <c r="G287">
        <f t="shared" si="26"/>
        <v>266.31693769140492</v>
      </c>
      <c r="H287">
        <f t="shared" si="27"/>
        <v>255.92793069471742</v>
      </c>
      <c r="I287">
        <f t="shared" si="28"/>
        <v>104.05934864885067</v>
      </c>
      <c r="J287">
        <f t="shared" si="29"/>
        <v>8.3247478919080535</v>
      </c>
    </row>
    <row r="288" spans="1:10" x14ac:dyDescent="0.2">
      <c r="A288" s="2">
        <v>0.5</v>
      </c>
      <c r="B288" s="2">
        <v>8</v>
      </c>
      <c r="C288" s="2">
        <v>8</v>
      </c>
      <c r="D288" s="2">
        <v>8</v>
      </c>
      <c r="E288">
        <f t="shared" si="24"/>
        <v>46.166666666666536</v>
      </c>
      <c r="F288">
        <f t="shared" si="25"/>
        <v>0.76944444444444227</v>
      </c>
      <c r="G288">
        <f t="shared" si="26"/>
        <v>266.63072223301947</v>
      </c>
      <c r="H288">
        <f t="shared" si="27"/>
        <v>255.92793069471742</v>
      </c>
      <c r="I288">
        <f t="shared" si="28"/>
        <v>104.18195525171842</v>
      </c>
      <c r="J288">
        <f t="shared" si="29"/>
        <v>8.3345564201374742</v>
      </c>
    </row>
    <row r="289" spans="1:10" x14ac:dyDescent="0.2">
      <c r="A289" s="2">
        <v>0.5</v>
      </c>
      <c r="B289" s="2">
        <v>8</v>
      </c>
      <c r="C289" s="2">
        <v>8</v>
      </c>
      <c r="D289" s="2">
        <v>8</v>
      </c>
      <c r="E289">
        <f t="shared" si="24"/>
        <v>46.333333333333201</v>
      </c>
      <c r="F289">
        <f t="shared" si="25"/>
        <v>0.77222222222222003</v>
      </c>
      <c r="G289">
        <f t="shared" si="26"/>
        <v>266.91346567202851</v>
      </c>
      <c r="H289">
        <f t="shared" si="27"/>
        <v>255.92793069471742</v>
      </c>
      <c r="I289">
        <f t="shared" si="28"/>
        <v>104.29243300935964</v>
      </c>
      <c r="J289">
        <f t="shared" si="29"/>
        <v>8.3433946407487714</v>
      </c>
    </row>
    <row r="290" spans="1:10" x14ac:dyDescent="0.2">
      <c r="A290" s="2">
        <v>0.5</v>
      </c>
      <c r="B290" s="2">
        <v>8</v>
      </c>
      <c r="C290" s="2">
        <v>8</v>
      </c>
      <c r="D290" s="2">
        <v>8</v>
      </c>
      <c r="E290">
        <f t="shared" si="24"/>
        <v>46.499999999999865</v>
      </c>
      <c r="F290">
        <f t="shared" si="25"/>
        <v>0.7749999999999978</v>
      </c>
      <c r="G290">
        <f t="shared" si="26"/>
        <v>267.16823874622554</v>
      </c>
      <c r="H290">
        <f t="shared" si="27"/>
        <v>255.92793069471742</v>
      </c>
      <c r="I290">
        <f t="shared" si="28"/>
        <v>104.39198176650602</v>
      </c>
      <c r="J290">
        <f t="shared" si="29"/>
        <v>8.3513585413204812</v>
      </c>
    </row>
    <row r="291" spans="1:10" x14ac:dyDescent="0.2">
      <c r="A291" s="2">
        <v>0.5</v>
      </c>
      <c r="B291" s="2">
        <v>8</v>
      </c>
      <c r="C291" s="2">
        <v>8</v>
      </c>
      <c r="D291" s="2">
        <v>8</v>
      </c>
      <c r="E291">
        <f t="shared" si="24"/>
        <v>46.666666666666536</v>
      </c>
      <c r="F291">
        <f t="shared" si="25"/>
        <v>0.77777777777777557</v>
      </c>
      <c r="G291">
        <f t="shared" si="26"/>
        <v>267.39780842099259</v>
      </c>
      <c r="H291">
        <f t="shared" si="27"/>
        <v>255.92793069471742</v>
      </c>
      <c r="I291">
        <f t="shared" si="28"/>
        <v>104.48168267337611</v>
      </c>
      <c r="J291">
        <f t="shared" si="29"/>
        <v>8.3585346138700896</v>
      </c>
    </row>
    <row r="292" spans="1:10" x14ac:dyDescent="0.2">
      <c r="A292" s="2">
        <v>0.5</v>
      </c>
      <c r="B292" s="2">
        <v>8</v>
      </c>
      <c r="C292" s="2">
        <v>8</v>
      </c>
      <c r="D292" s="2">
        <v>8</v>
      </c>
      <c r="E292">
        <f t="shared" si="24"/>
        <v>46.833333333333201</v>
      </c>
      <c r="F292">
        <f t="shared" si="25"/>
        <v>0.78055555555555334</v>
      </c>
      <c r="G292">
        <f t="shared" si="26"/>
        <v>267.60466793995369</v>
      </c>
      <c r="H292">
        <f t="shared" si="27"/>
        <v>255.92793069471742</v>
      </c>
      <c r="I292">
        <f t="shared" si="28"/>
        <v>104.56250992751737</v>
      </c>
      <c r="J292">
        <f t="shared" si="29"/>
        <v>8.3650007942013893</v>
      </c>
    </row>
    <row r="293" spans="1:10" x14ac:dyDescent="0.2">
      <c r="A293" s="2">
        <v>0.5</v>
      </c>
      <c r="B293" s="2">
        <v>8</v>
      </c>
      <c r="C293" s="2">
        <v>8</v>
      </c>
      <c r="D293" s="2">
        <v>8</v>
      </c>
      <c r="E293">
        <f t="shared" si="24"/>
        <v>46.999999999999865</v>
      </c>
      <c r="F293">
        <f t="shared" si="25"/>
        <v>0.78333333333333111</v>
      </c>
      <c r="G293">
        <f t="shared" si="26"/>
        <v>267.79106390287103</v>
      </c>
      <c r="H293">
        <f t="shared" si="27"/>
        <v>255.92793069471742</v>
      </c>
      <c r="I293">
        <f t="shared" si="28"/>
        <v>104.63534135408787</v>
      </c>
      <c r="J293">
        <f t="shared" si="29"/>
        <v>8.3708273083270299</v>
      </c>
    </row>
    <row r="294" spans="1:10" x14ac:dyDescent="0.2">
      <c r="A294" s="2">
        <v>0.5</v>
      </c>
      <c r="B294" s="2">
        <v>8</v>
      </c>
      <c r="C294" s="2">
        <v>8</v>
      </c>
      <c r="D294" s="2">
        <v>8</v>
      </c>
      <c r="E294">
        <f t="shared" si="24"/>
        <v>47.166666666666529</v>
      </c>
      <c r="F294">
        <f t="shared" si="25"/>
        <v>0.78611111111110887</v>
      </c>
      <c r="G294">
        <f t="shared" si="26"/>
        <v>267.95902066486281</v>
      </c>
      <c r="H294">
        <f t="shared" si="27"/>
        <v>255.92793069471742</v>
      </c>
      <c r="I294">
        <f t="shared" si="28"/>
        <v>104.70096793948474</v>
      </c>
      <c r="J294">
        <f t="shared" si="29"/>
        <v>8.3760774351587788</v>
      </c>
    </row>
    <row r="295" spans="1:10" x14ac:dyDescent="0.2">
      <c r="A295" s="2">
        <v>0.5</v>
      </c>
      <c r="B295" s="2">
        <v>8</v>
      </c>
      <c r="C295" s="2">
        <v>8</v>
      </c>
      <c r="D295" s="2">
        <v>8</v>
      </c>
      <c r="E295">
        <f t="shared" si="24"/>
        <v>47.333333333333201</v>
      </c>
      <c r="F295">
        <f t="shared" si="25"/>
        <v>0.78888888888888664</v>
      </c>
      <c r="G295">
        <f t="shared" si="26"/>
        <v>268.11036232193112</v>
      </c>
      <c r="H295">
        <f t="shared" si="27"/>
        <v>255.92793069471742</v>
      </c>
      <c r="I295">
        <f t="shared" si="28"/>
        <v>104.76010242185933</v>
      </c>
      <c r="J295">
        <f t="shared" si="29"/>
        <v>8.3808081937487469</v>
      </c>
    </row>
    <row r="296" spans="1:10" x14ac:dyDescent="0.2">
      <c r="A296" s="2">
        <v>0.5</v>
      </c>
      <c r="B296" s="2">
        <v>8</v>
      </c>
      <c r="C296" s="2">
        <v>8</v>
      </c>
      <c r="D296" s="2">
        <v>8</v>
      </c>
      <c r="E296">
        <f t="shared" si="24"/>
        <v>47.499999999999865</v>
      </c>
      <c r="F296">
        <f t="shared" si="25"/>
        <v>0.79166666666666441</v>
      </c>
      <c r="G296">
        <f t="shared" si="26"/>
        <v>268.24673252157402</v>
      </c>
      <c r="H296">
        <f t="shared" si="27"/>
        <v>255.92793069471742</v>
      </c>
      <c r="I296">
        <f t="shared" si="28"/>
        <v>104.8133870318168</v>
      </c>
      <c r="J296">
        <f t="shared" si="29"/>
        <v>8.3850709625453437</v>
      </c>
    </row>
    <row r="297" spans="1:10" x14ac:dyDescent="0.2">
      <c r="A297" s="2">
        <v>0.5</v>
      </c>
      <c r="B297" s="2">
        <v>8</v>
      </c>
      <c r="C297" s="2">
        <v>8</v>
      </c>
      <c r="D297" s="2">
        <v>8</v>
      </c>
      <c r="E297">
        <f t="shared" si="24"/>
        <v>47.666666666666529</v>
      </c>
      <c r="F297">
        <f t="shared" si="25"/>
        <v>0.79444444444444218</v>
      </c>
      <c r="G297">
        <f t="shared" si="26"/>
        <v>268.36961231363449</v>
      </c>
      <c r="H297">
        <f t="shared" si="27"/>
        <v>255.92793069471742</v>
      </c>
      <c r="I297">
        <f t="shared" si="28"/>
        <v>104.86140046736753</v>
      </c>
      <c r="J297">
        <f t="shared" si="29"/>
        <v>8.3889120373894031</v>
      </c>
    </row>
    <row r="298" spans="1:10" x14ac:dyDescent="0.2">
      <c r="A298" s="2">
        <v>0.5</v>
      </c>
      <c r="B298" s="2">
        <v>8</v>
      </c>
      <c r="C298" s="2">
        <v>8</v>
      </c>
      <c r="D298" s="2">
        <v>8</v>
      </c>
      <c r="E298">
        <f t="shared" si="24"/>
        <v>47.833333333333194</v>
      </c>
      <c r="F298">
        <f t="shared" si="25"/>
        <v>0.79722222222221995</v>
      </c>
      <c r="G298">
        <f t="shared" si="26"/>
        <v>268.48033623525635</v>
      </c>
      <c r="H298">
        <f t="shared" si="27"/>
        <v>255.92793069471742</v>
      </c>
      <c r="I298">
        <f t="shared" si="28"/>
        <v>104.90466417888247</v>
      </c>
      <c r="J298">
        <f t="shared" si="29"/>
        <v>8.3923731343105974</v>
      </c>
    </row>
    <row r="299" spans="1:10" x14ac:dyDescent="0.2">
      <c r="A299" s="2"/>
      <c r="B299" s="2">
        <v>8</v>
      </c>
      <c r="C299" s="2">
        <v>8</v>
      </c>
      <c r="D299" s="2">
        <v>8</v>
      </c>
      <c r="E299">
        <f t="shared" si="24"/>
        <v>47.999999999999865</v>
      </c>
      <c r="F299">
        <f t="shared" si="25"/>
        <v>0.79999999999999771</v>
      </c>
      <c r="G299">
        <f t="shared" si="26"/>
        <v>268.58010680463764</v>
      </c>
      <c r="H299">
        <f t="shared" si="27"/>
        <v>255.92793069471742</v>
      </c>
      <c r="I299">
        <f t="shared" si="28"/>
        <v>104.94364803230967</v>
      </c>
      <c r="J299">
        <f t="shared" si="29"/>
        <v>8.3954918425847733</v>
      </c>
    </row>
    <row r="300" spans="1:10" x14ac:dyDescent="0.2">
      <c r="A300" s="2"/>
      <c r="B300" s="2">
        <v>8</v>
      </c>
      <c r="C300" s="2">
        <v>8</v>
      </c>
      <c r="D300" s="2">
        <v>8</v>
      </c>
      <c r="E300">
        <f t="shared" si="24"/>
        <v>48.166666666666529</v>
      </c>
      <c r="F300">
        <f t="shared" si="25"/>
        <v>0.80277777777777548</v>
      </c>
      <c r="G300">
        <f t="shared" si="26"/>
        <v>268.67000758099078</v>
      </c>
      <c r="H300">
        <f t="shared" si="27"/>
        <v>255.92793069471742</v>
      </c>
      <c r="I300">
        <f t="shared" si="28"/>
        <v>104.97877541215802</v>
      </c>
      <c r="J300">
        <f t="shared" si="29"/>
        <v>8.3983020329726408</v>
      </c>
    </row>
    <row r="301" spans="1:10" x14ac:dyDescent="0.2">
      <c r="A301" s="2"/>
      <c r="B301" s="2">
        <v>8</v>
      </c>
      <c r="C301" s="2">
        <v>8</v>
      </c>
      <c r="D301" s="2">
        <v>8</v>
      </c>
      <c r="E301">
        <f t="shared" si="24"/>
        <v>48.333333333333194</v>
      </c>
      <c r="F301">
        <f t="shared" si="25"/>
        <v>0.80555555555555325</v>
      </c>
      <c r="G301">
        <f t="shared" si="26"/>
        <v>268.7510149325476</v>
      </c>
      <c r="H301">
        <f t="shared" si="27"/>
        <v>255.92793069471742</v>
      </c>
      <c r="I301">
        <f t="shared" si="28"/>
        <v>105.01042781966856</v>
      </c>
      <c r="J301">
        <f t="shared" si="29"/>
        <v>8.4008342255734849</v>
      </c>
    </row>
    <row r="302" spans="1:10" x14ac:dyDescent="0.2">
      <c r="A302" s="2"/>
      <c r="B302" s="2">
        <v>8</v>
      </c>
      <c r="C302" s="2">
        <v>8</v>
      </c>
      <c r="D302" s="2">
        <v>8</v>
      </c>
      <c r="E302">
        <f t="shared" si="24"/>
        <v>48.499999999999858</v>
      </c>
      <c r="F302">
        <f t="shared" si="25"/>
        <v>0.80833333333333102</v>
      </c>
      <c r="G302">
        <f t="shared" si="26"/>
        <v>268.82400864041585</v>
      </c>
      <c r="H302">
        <f t="shared" si="27"/>
        <v>255.92793069471742</v>
      </c>
      <c r="I302">
        <f t="shared" si="28"/>
        <v>105.03894901611245</v>
      </c>
      <c r="J302">
        <f t="shared" si="29"/>
        <v>8.4031159212889968</v>
      </c>
    </row>
    <row r="303" spans="1:10" x14ac:dyDescent="0.2">
      <c r="A303" s="2"/>
      <c r="B303" s="2">
        <v>8</v>
      </c>
      <c r="C303" s="2">
        <v>8</v>
      </c>
      <c r="D303" s="2">
        <v>8</v>
      </c>
      <c r="E303">
        <f t="shared" si="24"/>
        <v>48.666666666666529</v>
      </c>
      <c r="F303">
        <f t="shared" si="25"/>
        <v>0.81111111111110878</v>
      </c>
      <c r="G303">
        <f t="shared" si="26"/>
        <v>268.88978145345027</v>
      </c>
      <c r="H303">
        <f t="shared" si="27"/>
        <v>255.92793069471742</v>
      </c>
      <c r="I303">
        <f t="shared" si="28"/>
        <v>105.06464875621346</v>
      </c>
      <c r="J303">
        <f t="shared" si="29"/>
        <v>8.4051719004970771</v>
      </c>
    </row>
    <row r="304" spans="1:10" x14ac:dyDescent="0.2">
      <c r="A304" s="2"/>
      <c r="B304" s="2">
        <v>8</v>
      </c>
      <c r="C304" s="2">
        <v>8</v>
      </c>
      <c r="D304" s="2">
        <v>8</v>
      </c>
      <c r="E304">
        <f t="shared" si="24"/>
        <v>48.833333333333194</v>
      </c>
      <c r="F304">
        <f t="shared" si="25"/>
        <v>0.81388888888888655</v>
      </c>
      <c r="G304">
        <f t="shared" si="26"/>
        <v>268.94904769790884</v>
      </c>
      <c r="H304">
        <f t="shared" si="27"/>
        <v>255.92793069471742</v>
      </c>
      <c r="I304">
        <f t="shared" si="28"/>
        <v>105.08780615224198</v>
      </c>
      <c r="J304">
        <f t="shared" si="29"/>
        <v>8.4070244921793584</v>
      </c>
    </row>
    <row r="305" spans="1:10" x14ac:dyDescent="0.2">
      <c r="A305" s="2"/>
      <c r="B305" s="2">
        <v>8</v>
      </c>
      <c r="C305" s="2">
        <v>8</v>
      </c>
      <c r="D305" s="2">
        <v>8</v>
      </c>
      <c r="E305">
        <f t="shared" si="24"/>
        <v>48.999999999999858</v>
      </c>
      <c r="F305">
        <f t="shared" si="25"/>
        <v>0.81666666666666432</v>
      </c>
      <c r="G305">
        <f t="shared" si="26"/>
        <v>269.00245103540004</v>
      </c>
      <c r="H305">
        <f t="shared" si="27"/>
        <v>255.92793069471742</v>
      </c>
      <c r="I305">
        <f t="shared" si="28"/>
        <v>105.10867270531661</v>
      </c>
      <c r="J305">
        <f t="shared" si="29"/>
        <v>8.4086938164253286</v>
      </c>
    </row>
    <row r="306" spans="1:10" x14ac:dyDescent="0.2">
      <c r="A306" s="2"/>
      <c r="B306" s="2">
        <v>8</v>
      </c>
      <c r="C306" s="2">
        <v>8</v>
      </c>
      <c r="D306" s="2">
        <v>8</v>
      </c>
      <c r="E306">
        <f t="shared" si="24"/>
        <v>49.166666666666522</v>
      </c>
      <c r="F306">
        <f t="shared" si="25"/>
        <v>0.81944444444444209</v>
      </c>
      <c r="G306">
        <f t="shared" si="26"/>
        <v>269.05057145337577</v>
      </c>
      <c r="H306">
        <f t="shared" si="27"/>
        <v>255.92793069471742</v>
      </c>
      <c r="I306">
        <f t="shared" si="28"/>
        <v>105.12747503683435</v>
      </c>
      <c r="J306">
        <f t="shared" si="29"/>
        <v>8.410198002946748</v>
      </c>
    </row>
    <row r="307" spans="1:10" x14ac:dyDescent="0.2">
      <c r="A307" s="2"/>
      <c r="B307" s="2">
        <v>8</v>
      </c>
      <c r="C307" s="2">
        <v>8</v>
      </c>
      <c r="D307" s="2">
        <v>8</v>
      </c>
      <c r="E307">
        <f t="shared" si="24"/>
        <v>49.333333333333194</v>
      </c>
      <c r="F307">
        <f t="shared" si="25"/>
        <v>0.82222222222221986</v>
      </c>
      <c r="G307">
        <f t="shared" si="26"/>
        <v>269.09393156409061</v>
      </c>
      <c r="H307">
        <f t="shared" si="27"/>
        <v>255.92793069471742</v>
      </c>
      <c r="I307">
        <f t="shared" si="28"/>
        <v>105.14441734969451</v>
      </c>
      <c r="J307">
        <f t="shared" si="29"/>
        <v>8.4115533879755606</v>
      </c>
    </row>
    <row r="308" spans="1:10" x14ac:dyDescent="0.2">
      <c r="A308" s="2"/>
      <c r="B308" s="2">
        <v>8</v>
      </c>
      <c r="C308" s="2">
        <v>8</v>
      </c>
      <c r="D308" s="2">
        <v>8</v>
      </c>
      <c r="E308">
        <f t="shared" si="24"/>
        <v>49.499999999999858</v>
      </c>
      <c r="F308">
        <f t="shared" si="25"/>
        <v>0.82499999999999762</v>
      </c>
      <c r="G308">
        <f t="shared" si="26"/>
        <v>269.1330022804371</v>
      </c>
      <c r="H308">
        <f t="shared" si="27"/>
        <v>255.92793069471742</v>
      </c>
      <c r="I308">
        <f t="shared" si="28"/>
        <v>105.15968364604615</v>
      </c>
      <c r="J308">
        <f t="shared" si="29"/>
        <v>8.4127746916836923</v>
      </c>
    </row>
    <row r="309" spans="1:10" x14ac:dyDescent="0.2">
      <c r="A309" s="2"/>
      <c r="B309" s="2">
        <v>8</v>
      </c>
      <c r="C309" s="2">
        <v>8</v>
      </c>
      <c r="D309" s="2">
        <v>8</v>
      </c>
      <c r="E309">
        <f t="shared" si="24"/>
        <v>49.666666666666522</v>
      </c>
      <c r="F309">
        <f t="shared" si="25"/>
        <v>0.82777777777777539</v>
      </c>
      <c r="G309">
        <f t="shared" si="26"/>
        <v>269.16820793029962</v>
      </c>
      <c r="H309">
        <f t="shared" si="27"/>
        <v>255.92793069471742</v>
      </c>
      <c r="I309">
        <f t="shared" si="28"/>
        <v>105.1734397256452</v>
      </c>
      <c r="J309">
        <f t="shared" si="29"/>
        <v>8.4138751780516152</v>
      </c>
    </row>
    <row r="310" spans="1:10" x14ac:dyDescent="0.2">
      <c r="A310" s="2"/>
      <c r="B310" s="2">
        <v>8</v>
      </c>
      <c r="C310" s="2">
        <v>8</v>
      </c>
      <c r="D310" s="2">
        <v>8</v>
      </c>
      <c r="E310">
        <f t="shared" si="24"/>
        <v>49.833333333333186</v>
      </c>
      <c r="F310">
        <f t="shared" si="25"/>
        <v>0.83055555555555316</v>
      </c>
      <c r="G310">
        <f t="shared" si="26"/>
        <v>269.19993086497146</v>
      </c>
      <c r="H310">
        <f t="shared" si="27"/>
        <v>255.92793069471742</v>
      </c>
      <c r="I310">
        <f t="shared" si="28"/>
        <v>105.18583498652418</v>
      </c>
      <c r="J310">
        <f t="shared" si="29"/>
        <v>8.4148667989219348</v>
      </c>
    </row>
    <row r="311" spans="1:10" x14ac:dyDescent="0.2">
      <c r="A311" s="2"/>
      <c r="B311" s="2">
        <v>8</v>
      </c>
      <c r="C311" s="2">
        <v>8</v>
      </c>
      <c r="D311" s="2">
        <v>8</v>
      </c>
      <c r="E311">
        <f t="shared" si="24"/>
        <v>49.999999999999858</v>
      </c>
      <c r="F311">
        <f t="shared" si="25"/>
        <v>0.83333333333333093</v>
      </c>
      <c r="G311">
        <f t="shared" si="26"/>
        <v>269.22851561168466</v>
      </c>
      <c r="H311">
        <f t="shared" si="27"/>
        <v>255.92793069471742</v>
      </c>
      <c r="I311">
        <f t="shared" si="28"/>
        <v>105.19700404753117</v>
      </c>
      <c r="J311">
        <f t="shared" si="29"/>
        <v>8.4157603238024929</v>
      </c>
    </row>
    <row r="312" spans="1:10" x14ac:dyDescent="0.2">
      <c r="A312" s="2"/>
      <c r="B312" s="2">
        <v>4</v>
      </c>
      <c r="C312" s="2">
        <v>16</v>
      </c>
      <c r="D312" s="2">
        <v>16</v>
      </c>
      <c r="E312">
        <f t="shared" si="24"/>
        <v>50.166666666666522</v>
      </c>
      <c r="F312">
        <f t="shared" si="25"/>
        <v>0.8361111111111087</v>
      </c>
      <c r="G312">
        <f t="shared" si="26"/>
        <v>295.91343206271767</v>
      </c>
      <c r="H312">
        <f t="shared" si="27"/>
        <v>511.85586138943484</v>
      </c>
      <c r="I312">
        <f t="shared" si="28"/>
        <v>57.811867438512756</v>
      </c>
      <c r="J312">
        <f t="shared" si="29"/>
        <v>9.2498987901620406</v>
      </c>
    </row>
    <row r="313" spans="1:10" x14ac:dyDescent="0.2">
      <c r="A313" s="2"/>
      <c r="B313" s="2">
        <v>4</v>
      </c>
      <c r="C313" s="2">
        <v>16</v>
      </c>
      <c r="D313" s="2">
        <v>16</v>
      </c>
      <c r="E313">
        <f t="shared" si="24"/>
        <v>50.333333333333186</v>
      </c>
      <c r="F313">
        <f t="shared" si="25"/>
        <v>0.83888888888888646</v>
      </c>
      <c r="G313">
        <f t="shared" si="26"/>
        <v>319.95854597499607</v>
      </c>
      <c r="H313">
        <f t="shared" si="27"/>
        <v>511.85586138943484</v>
      </c>
      <c r="I313">
        <f t="shared" si="28"/>
        <v>62.509501230769793</v>
      </c>
      <c r="J313">
        <f t="shared" si="29"/>
        <v>10.001520196923167</v>
      </c>
    </row>
    <row r="314" spans="1:10" x14ac:dyDescent="0.2">
      <c r="A314" s="2"/>
      <c r="B314" s="2">
        <v>4</v>
      </c>
      <c r="C314" s="2">
        <v>16</v>
      </c>
      <c r="D314" s="2">
        <v>16</v>
      </c>
      <c r="E314">
        <f t="shared" si="24"/>
        <v>50.499999999999851</v>
      </c>
      <c r="F314">
        <f t="shared" si="25"/>
        <v>0.84166666666666423</v>
      </c>
      <c r="G314">
        <f t="shared" si="26"/>
        <v>341.62499953558279</v>
      </c>
      <c r="H314">
        <f t="shared" si="27"/>
        <v>511.85586138943484</v>
      </c>
      <c r="I314">
        <f t="shared" si="28"/>
        <v>66.742422096767697</v>
      </c>
      <c r="J314">
        <f t="shared" si="29"/>
        <v>10.678787535482831</v>
      </c>
    </row>
    <row r="315" spans="1:10" x14ac:dyDescent="0.2">
      <c r="A315" s="2"/>
      <c r="B315" s="2">
        <v>4</v>
      </c>
      <c r="C315" s="2">
        <v>16</v>
      </c>
      <c r="D315" s="2">
        <v>16</v>
      </c>
      <c r="E315">
        <f t="shared" si="24"/>
        <v>50.666666666666522</v>
      </c>
      <c r="F315">
        <f t="shared" si="25"/>
        <v>0.844444444444442</v>
      </c>
      <c r="G315">
        <f t="shared" si="26"/>
        <v>361.14810146829387</v>
      </c>
      <c r="H315">
        <f t="shared" si="27"/>
        <v>511.85586138943484</v>
      </c>
      <c r="I315">
        <f t="shared" si="28"/>
        <v>70.556601713606611</v>
      </c>
      <c r="J315">
        <f t="shared" si="29"/>
        <v>11.289056274177058</v>
      </c>
    </row>
    <row r="316" spans="1:10" x14ac:dyDescent="0.2">
      <c r="A316" s="2"/>
      <c r="B316" s="2">
        <v>4</v>
      </c>
      <c r="C316" s="2">
        <v>16</v>
      </c>
      <c r="D316" s="2">
        <v>16</v>
      </c>
      <c r="E316">
        <f t="shared" si="24"/>
        <v>50.833333333333186</v>
      </c>
      <c r="F316">
        <f t="shared" si="25"/>
        <v>0.84722222222221977</v>
      </c>
      <c r="G316">
        <f t="shared" si="26"/>
        <v>378.73988260631904</v>
      </c>
      <c r="H316">
        <f t="shared" si="27"/>
        <v>511.85586138943484</v>
      </c>
      <c r="I316">
        <f t="shared" si="28"/>
        <v>73.993464015089728</v>
      </c>
      <c r="J316">
        <f t="shared" si="29"/>
        <v>11.838954242414356</v>
      </c>
    </row>
    <row r="317" spans="1:10" x14ac:dyDescent="0.2">
      <c r="A317" s="2"/>
      <c r="B317" s="2">
        <v>4</v>
      </c>
      <c r="C317" s="2">
        <v>16</v>
      </c>
      <c r="D317" s="2">
        <v>16</v>
      </c>
      <c r="E317">
        <f t="shared" si="24"/>
        <v>50.999999999999851</v>
      </c>
      <c r="F317">
        <f t="shared" si="25"/>
        <v>0.84999999999999754</v>
      </c>
      <c r="G317">
        <f t="shared" si="26"/>
        <v>394.59139865509087</v>
      </c>
      <c r="H317">
        <f t="shared" si="27"/>
        <v>511.85586138943484</v>
      </c>
      <c r="I317">
        <f t="shared" si="28"/>
        <v>77.090335076748147</v>
      </c>
      <c r="J317">
        <f t="shared" si="29"/>
        <v>12.334453612279704</v>
      </c>
    </row>
    <row r="318" spans="1:10" x14ac:dyDescent="0.2">
      <c r="A318" s="2"/>
      <c r="B318" s="2">
        <v>4</v>
      </c>
      <c r="C318" s="2">
        <v>16</v>
      </c>
      <c r="D318" s="2">
        <v>16</v>
      </c>
      <c r="E318">
        <f t="shared" si="24"/>
        <v>51.166666666666515</v>
      </c>
      <c r="F318">
        <f t="shared" si="25"/>
        <v>0.8527777777777753</v>
      </c>
      <c r="G318">
        <f t="shared" si="26"/>
        <v>408.87480515458071</v>
      </c>
      <c r="H318">
        <f t="shared" si="27"/>
        <v>511.85586138943484</v>
      </c>
      <c r="I318">
        <f t="shared" si="28"/>
        <v>79.880848496037217</v>
      </c>
      <c r="J318">
        <f t="shared" si="29"/>
        <v>12.780935759365954</v>
      </c>
    </row>
    <row r="319" spans="1:10" x14ac:dyDescent="0.2">
      <c r="A319" s="2"/>
      <c r="B319" s="2">
        <v>4</v>
      </c>
      <c r="C319" s="2">
        <v>16</v>
      </c>
      <c r="D319" s="2">
        <v>16</v>
      </c>
      <c r="E319">
        <f t="shared" si="24"/>
        <v>51.333333333333186</v>
      </c>
      <c r="F319">
        <f t="shared" si="25"/>
        <v>0.85555555555555307</v>
      </c>
      <c r="G319">
        <f t="shared" si="26"/>
        <v>421.74522717616867</v>
      </c>
      <c r="H319">
        <f t="shared" si="27"/>
        <v>511.85586138943484</v>
      </c>
      <c r="I319">
        <f t="shared" si="28"/>
        <v>82.395310670339796</v>
      </c>
      <c r="J319">
        <f t="shared" si="29"/>
        <v>13.183249707254367</v>
      </c>
    </row>
    <row r="320" spans="1:10" x14ac:dyDescent="0.2">
      <c r="A320" s="2"/>
      <c r="B320" s="2">
        <v>4</v>
      </c>
      <c r="C320" s="2">
        <v>16</v>
      </c>
      <c r="D320" s="2">
        <v>16</v>
      </c>
      <c r="E320">
        <f t="shared" si="24"/>
        <v>51.499999999999851</v>
      </c>
      <c r="F320">
        <f t="shared" si="25"/>
        <v>0.85833333333333084</v>
      </c>
      <c r="G320">
        <f t="shared" si="26"/>
        <v>433.34244405994866</v>
      </c>
      <c r="H320">
        <f t="shared" si="27"/>
        <v>511.85586138943484</v>
      </c>
      <c r="I320">
        <f t="shared" si="28"/>
        <v>84.661029939881672</v>
      </c>
      <c r="J320">
        <f t="shared" si="29"/>
        <v>13.545764790381067</v>
      </c>
    </row>
    <row r="321" spans="1:10" x14ac:dyDescent="0.2">
      <c r="A321" s="2"/>
      <c r="B321" s="2">
        <v>4</v>
      </c>
      <c r="C321" s="2">
        <v>16</v>
      </c>
      <c r="D321" s="2">
        <v>16</v>
      </c>
      <c r="E321">
        <f t="shared" si="24"/>
        <v>51.666666666666515</v>
      </c>
      <c r="F321">
        <f t="shared" si="25"/>
        <v>0.86111111111110861</v>
      </c>
      <c r="G321">
        <f t="shared" si="26"/>
        <v>443.79240748957346</v>
      </c>
      <c r="H321">
        <f t="shared" si="27"/>
        <v>511.85586138943484</v>
      </c>
      <c r="I321">
        <f t="shared" si="28"/>
        <v>86.702613170218896</v>
      </c>
      <c r="J321">
        <f t="shared" si="29"/>
        <v>13.872418107235024</v>
      </c>
    </row>
    <row r="322" spans="1:10" x14ac:dyDescent="0.2">
      <c r="A322" s="2"/>
      <c r="B322" s="2">
        <v>4</v>
      </c>
      <c r="C322" s="2">
        <v>16</v>
      </c>
      <c r="D322" s="2">
        <v>16</v>
      </c>
      <c r="E322">
        <f t="shared" si="24"/>
        <v>51.833333333333179</v>
      </c>
      <c r="F322">
        <f t="shared" si="25"/>
        <v>0.86388888888888637</v>
      </c>
      <c r="G322">
        <f t="shared" si="26"/>
        <v>453.20860939170626</v>
      </c>
      <c r="H322">
        <f t="shared" si="27"/>
        <v>511.85586138943484</v>
      </c>
      <c r="I322">
        <f t="shared" si="28"/>
        <v>88.542232995333819</v>
      </c>
      <c r="J322">
        <f t="shared" si="29"/>
        <v>14.16675727925341</v>
      </c>
    </row>
    <row r="323" spans="1:10" x14ac:dyDescent="0.2">
      <c r="A323" s="2"/>
      <c r="B323" s="2">
        <v>4</v>
      </c>
      <c r="C323" s="2">
        <v>16</v>
      </c>
      <c r="D323" s="2">
        <v>16</v>
      </c>
      <c r="E323">
        <f t="shared" si="24"/>
        <v>51.999999999999851</v>
      </c>
      <c r="F323">
        <f t="shared" si="25"/>
        <v>0.86666666666666414</v>
      </c>
      <c r="G323">
        <f t="shared" si="26"/>
        <v>461.69331451616358</v>
      </c>
      <c r="H323">
        <f t="shared" si="27"/>
        <v>511.85586138943484</v>
      </c>
      <c r="I323">
        <f t="shared" si="28"/>
        <v>90.199868623736222</v>
      </c>
      <c r="J323">
        <f t="shared" si="29"/>
        <v>14.431978979797796</v>
      </c>
    </row>
    <row r="324" spans="1:10" x14ac:dyDescent="0.2">
      <c r="A324" s="2"/>
      <c r="B324" s="2">
        <v>4</v>
      </c>
      <c r="C324" s="2">
        <v>16</v>
      </c>
      <c r="D324" s="2">
        <v>16</v>
      </c>
      <c r="E324">
        <f t="shared" si="24"/>
        <v>52.166666666666515</v>
      </c>
      <c r="F324">
        <f t="shared" si="25"/>
        <v>0.86944444444444191</v>
      </c>
      <c r="G324">
        <f t="shared" si="26"/>
        <v>469.33867108319794</v>
      </c>
      <c r="H324">
        <f t="shared" si="27"/>
        <v>511.85586138943484</v>
      </c>
      <c r="I324">
        <f t="shared" si="28"/>
        <v>91.69352282284629</v>
      </c>
      <c r="J324">
        <f t="shared" si="29"/>
        <v>14.670963651655406</v>
      </c>
    </row>
    <row r="325" spans="1:10" x14ac:dyDescent="0.2">
      <c r="A325" s="2"/>
      <c r="B325" s="2">
        <v>4</v>
      </c>
      <c r="C325" s="2">
        <v>16</v>
      </c>
      <c r="D325" s="2">
        <v>16</v>
      </c>
      <c r="E325">
        <f t="shared" si="24"/>
        <v>52.333333333333179</v>
      </c>
      <c r="F325">
        <f t="shared" si="25"/>
        <v>0.87222222222221968</v>
      </c>
      <c r="G325">
        <f t="shared" si="26"/>
        <v>476.22771156011538</v>
      </c>
      <c r="H325">
        <f t="shared" si="27"/>
        <v>511.85586138943484</v>
      </c>
      <c r="I325">
        <f t="shared" si="28"/>
        <v>93.039417438220468</v>
      </c>
      <c r="J325">
        <f t="shared" si="29"/>
        <v>14.886306790115276</v>
      </c>
    </row>
    <row r="326" spans="1:10" x14ac:dyDescent="0.2">
      <c r="A326" s="2"/>
      <c r="B326" s="2">
        <v>4</v>
      </c>
      <c r="C326" s="2">
        <v>16</v>
      </c>
      <c r="D326" s="2">
        <v>16</v>
      </c>
      <c r="E326">
        <f t="shared" si="24"/>
        <v>52.499999999999844</v>
      </c>
      <c r="F326">
        <f t="shared" si="25"/>
        <v>0.87499999999999745</v>
      </c>
      <c r="G326">
        <f t="shared" si="26"/>
        <v>482.43525443617204</v>
      </c>
      <c r="H326">
        <f t="shared" si="27"/>
        <v>511.85586138943484</v>
      </c>
      <c r="I326">
        <f t="shared" si="28"/>
        <v>94.252169571058459</v>
      </c>
      <c r="J326">
        <f t="shared" si="29"/>
        <v>15.080347131369354</v>
      </c>
    </row>
    <row r="327" spans="1:10" x14ac:dyDescent="0.2">
      <c r="A327" s="2"/>
      <c r="B327" s="2">
        <v>4</v>
      </c>
      <c r="C327" s="2">
        <v>16</v>
      </c>
      <c r="D327" s="2">
        <v>16</v>
      </c>
      <c r="E327">
        <f t="shared" si="24"/>
        <v>52.666666666666515</v>
      </c>
      <c r="F327">
        <f t="shared" si="25"/>
        <v>0.87777777777777521</v>
      </c>
      <c r="G327">
        <f t="shared" si="26"/>
        <v>488.02871678948424</v>
      </c>
      <c r="H327">
        <f t="shared" si="27"/>
        <v>511.85586138943484</v>
      </c>
      <c r="I327">
        <f t="shared" si="28"/>
        <v>95.344950327369176</v>
      </c>
      <c r="J327">
        <f t="shared" si="29"/>
        <v>15.255192052379067</v>
      </c>
    </row>
    <row r="328" spans="1:10" x14ac:dyDescent="0.2">
      <c r="A328" s="2"/>
      <c r="B328" s="2">
        <v>4</v>
      </c>
      <c r="C328" s="2">
        <v>16</v>
      </c>
      <c r="D328" s="2">
        <v>16</v>
      </c>
      <c r="E328">
        <f t="shared" si="24"/>
        <v>52.833333333333179</v>
      </c>
      <c r="F328">
        <f t="shared" si="25"/>
        <v>0.88055555555555298</v>
      </c>
      <c r="G328">
        <f t="shared" si="26"/>
        <v>493.06884647084308</v>
      </c>
      <c r="H328">
        <f t="shared" si="27"/>
        <v>511.85586138943484</v>
      </c>
      <c r="I328">
        <f t="shared" si="28"/>
        <v>96.329627862892039</v>
      </c>
      <c r="J328">
        <f t="shared" si="29"/>
        <v>15.412740458062727</v>
      </c>
    </row>
    <row r="329" spans="1:10" x14ac:dyDescent="0.2">
      <c r="A329" s="2"/>
      <c r="B329" s="2">
        <v>4</v>
      </c>
      <c r="C329" s="2">
        <v>16</v>
      </c>
      <c r="D329" s="2">
        <v>16</v>
      </c>
      <c r="E329">
        <f t="shared" si="24"/>
        <v>52.999999999999844</v>
      </c>
      <c r="F329">
        <f t="shared" si="25"/>
        <v>0.88333333333333075</v>
      </c>
      <c r="G329">
        <f t="shared" si="26"/>
        <v>497.61038185632248</v>
      </c>
      <c r="H329">
        <f t="shared" si="27"/>
        <v>511.85586138943484</v>
      </c>
      <c r="I329">
        <f t="shared" si="28"/>
        <v>97.216896277314675</v>
      </c>
      <c r="J329">
        <f t="shared" si="29"/>
        <v>15.554703404370349</v>
      </c>
    </row>
    <row r="330" spans="1:10" x14ac:dyDescent="0.2">
      <c r="A330" s="2"/>
      <c r="B330" s="2">
        <v>4</v>
      </c>
      <c r="C330" s="2">
        <v>16</v>
      </c>
      <c r="D330" s="2">
        <v>16</v>
      </c>
      <c r="E330">
        <f t="shared" si="24"/>
        <v>53.166666666666508</v>
      </c>
      <c r="F330">
        <f t="shared" si="25"/>
        <v>0.88611111111110852</v>
      </c>
      <c r="G330">
        <f t="shared" si="26"/>
        <v>501.70264633393032</v>
      </c>
      <c r="H330">
        <f t="shared" si="27"/>
        <v>511.85586138943484</v>
      </c>
      <c r="I330">
        <f t="shared" si="28"/>
        <v>98.016391757643731</v>
      </c>
      <c r="J330">
        <f t="shared" si="29"/>
        <v>15.682622681222997</v>
      </c>
    </row>
    <row r="331" spans="1:10" x14ac:dyDescent="0.2">
      <c r="A331" s="2"/>
      <c r="B331" s="2">
        <v>4</v>
      </c>
      <c r="C331" s="2">
        <v>16</v>
      </c>
      <c r="D331" s="2">
        <v>16</v>
      </c>
      <c r="E331">
        <f t="shared" si="24"/>
        <v>53.333333333333179</v>
      </c>
      <c r="F331">
        <f t="shared" si="25"/>
        <v>0.88888888888888629</v>
      </c>
      <c r="G331">
        <f t="shared" si="26"/>
        <v>505.39008398073031</v>
      </c>
      <c r="H331">
        <f t="shared" si="27"/>
        <v>511.85586138943484</v>
      </c>
      <c r="I331">
        <f t="shared" si="28"/>
        <v>98.736797232104919</v>
      </c>
      <c r="J331">
        <f t="shared" si="29"/>
        <v>15.797887557136788</v>
      </c>
    </row>
    <row r="332" spans="1:10" x14ac:dyDescent="0.2">
      <c r="A332" s="2"/>
      <c r="B332" s="2">
        <v>4</v>
      </c>
      <c r="C332" s="2">
        <v>16</v>
      </c>
      <c r="D332" s="2">
        <v>16</v>
      </c>
      <c r="E332">
        <f t="shared" ref="E332:E395" si="30">F332*60</f>
        <v>53.499999999999844</v>
      </c>
      <c r="F332">
        <f t="shared" ref="F332:F395" si="31">Tsamp+F331</f>
        <v>0.89166666666666405</v>
      </c>
      <c r="G332">
        <f t="shared" ref="G332:G395" si="32">Tsamp*$D332*G$3/G$5+G$8*G331</f>
        <v>508.71274224816125</v>
      </c>
      <c r="H332">
        <f t="shared" ref="H332:H395" si="33">$D332*$G$3/$G$6</f>
        <v>511.85586138943484</v>
      </c>
      <c r="I332">
        <f t="shared" ref="I332:I395" si="34">G332/H332*100</f>
        <v>99.385936671167229</v>
      </c>
      <c r="J332">
        <f t="shared" si="29"/>
        <v>15.901749867386757</v>
      </c>
    </row>
    <row r="333" spans="1:10" x14ac:dyDescent="0.2">
      <c r="A333" s="2"/>
      <c r="B333" s="2">
        <v>4</v>
      </c>
      <c r="C333" s="2">
        <v>16</v>
      </c>
      <c r="D333" s="2">
        <v>16</v>
      </c>
      <c r="E333">
        <f t="shared" si="30"/>
        <v>53.666666666666508</v>
      </c>
      <c r="F333">
        <f t="shared" si="31"/>
        <v>0.89444444444444182</v>
      </c>
      <c r="G333">
        <f t="shared" si="32"/>
        <v>511.70670689776233</v>
      </c>
      <c r="H333">
        <f t="shared" si="33"/>
        <v>511.85586138943484</v>
      </c>
      <c r="I333">
        <f t="shared" si="34"/>
        <v>99.970860059848178</v>
      </c>
      <c r="J333">
        <f t="shared" ref="J333:J396" si="35">($I333/100)*$D333</f>
        <v>15.995337609575708</v>
      </c>
    </row>
    <row r="334" spans="1:10" x14ac:dyDescent="0.2">
      <c r="A334" s="2"/>
      <c r="B334" s="2">
        <v>4</v>
      </c>
      <c r="C334" s="2">
        <v>16</v>
      </c>
      <c r="D334" s="2">
        <v>16</v>
      </c>
      <c r="E334">
        <f t="shared" si="30"/>
        <v>53.833333333333172</v>
      </c>
      <c r="F334">
        <f t="shared" si="31"/>
        <v>0.89722222222221959</v>
      </c>
      <c r="G334">
        <f t="shared" si="32"/>
        <v>514.4044939109275</v>
      </c>
      <c r="H334">
        <f t="shared" si="33"/>
        <v>511.85586138943484</v>
      </c>
      <c r="I334">
        <f t="shared" si="34"/>
        <v>100.49791996414272</v>
      </c>
      <c r="J334">
        <f t="shared" si="35"/>
        <v>16.079667194262836</v>
      </c>
    </row>
    <row r="335" spans="1:10" x14ac:dyDescent="0.2">
      <c r="A335" s="2"/>
      <c r="B335" s="2">
        <v>4</v>
      </c>
      <c r="C335" s="2">
        <v>16</v>
      </c>
      <c r="D335" s="2">
        <v>16</v>
      </c>
      <c r="E335">
        <f t="shared" si="30"/>
        <v>53.999999999999844</v>
      </c>
      <c r="F335">
        <f t="shared" si="31"/>
        <v>0.89999999999999736</v>
      </c>
      <c r="G335">
        <f t="shared" si="32"/>
        <v>516.83540262902875</v>
      </c>
      <c r="H335">
        <f t="shared" si="33"/>
        <v>511.85586138943484</v>
      </c>
      <c r="I335">
        <f t="shared" si="34"/>
        <v>100.97284052312637</v>
      </c>
      <c r="J335">
        <f t="shared" si="35"/>
        <v>16.155654483700218</v>
      </c>
    </row>
    <row r="336" spans="1:10" x14ac:dyDescent="0.2">
      <c r="A336" s="2"/>
      <c r="B336" s="2">
        <v>4</v>
      </c>
      <c r="C336" s="2">
        <v>16</v>
      </c>
      <c r="D336" s="2">
        <v>16</v>
      </c>
      <c r="E336">
        <f t="shared" si="30"/>
        <v>54.166666666666508</v>
      </c>
      <c r="F336">
        <f t="shared" si="31"/>
        <v>0.90277777777777513</v>
      </c>
      <c r="G336">
        <f t="shared" si="32"/>
        <v>519.02583395919066</v>
      </c>
      <c r="H336">
        <f t="shared" si="33"/>
        <v>511.85586138943484</v>
      </c>
      <c r="I336">
        <f t="shared" si="34"/>
        <v>101.40077961602177</v>
      </c>
      <c r="J336">
        <f t="shared" si="35"/>
        <v>16.224124738563482</v>
      </c>
    </row>
    <row r="337" spans="1:10" x14ac:dyDescent="0.2">
      <c r="A337" s="2"/>
      <c r="B337" s="2">
        <v>4</v>
      </c>
      <c r="C337" s="2">
        <v>16</v>
      </c>
      <c r="D337" s="2">
        <v>16</v>
      </c>
      <c r="E337">
        <f t="shared" si="30"/>
        <v>54.333333333333172</v>
      </c>
      <c r="F337">
        <f t="shared" si="31"/>
        <v>0.90555555555555289</v>
      </c>
      <c r="G337">
        <f t="shared" si="32"/>
        <v>520.99957710159151</v>
      </c>
      <c r="H337">
        <f t="shared" si="33"/>
        <v>511.85586138943484</v>
      </c>
      <c r="I337">
        <f t="shared" si="34"/>
        <v>101.78638487939476</v>
      </c>
      <c r="J337">
        <f t="shared" si="35"/>
        <v>16.285821580703161</v>
      </c>
    </row>
    <row r="338" spans="1:10" x14ac:dyDescent="0.2">
      <c r="A338" s="2"/>
      <c r="B338" s="2">
        <v>4</v>
      </c>
      <c r="C338" s="2">
        <v>16</v>
      </c>
      <c r="D338" s="2">
        <v>16</v>
      </c>
      <c r="E338">
        <f t="shared" si="30"/>
        <v>54.499999999999837</v>
      </c>
      <c r="F338">
        <f t="shared" si="31"/>
        <v>0.90833333333333066</v>
      </c>
      <c r="G338">
        <f t="shared" si="32"/>
        <v>522.77806791229705</v>
      </c>
      <c r="H338">
        <f t="shared" si="33"/>
        <v>511.85586138943484</v>
      </c>
      <c r="I338">
        <f t="shared" si="34"/>
        <v>102.13384418285527</v>
      </c>
      <c r="J338">
        <f t="shared" si="35"/>
        <v>16.341415069256843</v>
      </c>
    </row>
    <row r="339" spans="1:10" x14ac:dyDescent="0.2">
      <c r="A339" s="2"/>
      <c r="B339" s="2">
        <v>4</v>
      </c>
      <c r="C339" s="2">
        <v>16</v>
      </c>
      <c r="D339" s="2">
        <v>16</v>
      </c>
      <c r="E339">
        <f t="shared" si="30"/>
        <v>54.666666666666508</v>
      </c>
      <c r="F339">
        <f t="shared" si="31"/>
        <v>0.91111111111110843</v>
      </c>
      <c r="G339">
        <f t="shared" si="32"/>
        <v>524.38062170757792</v>
      </c>
      <c r="H339">
        <f t="shared" si="33"/>
        <v>511.85586138943484</v>
      </c>
      <c r="I339">
        <f t="shared" si="34"/>
        <v>102.4469311114548</v>
      </c>
      <c r="J339">
        <f t="shared" si="35"/>
        <v>16.391508977832768</v>
      </c>
    </row>
    <row r="340" spans="1:10" x14ac:dyDescent="0.2">
      <c r="A340" s="2"/>
      <c r="B340" s="2">
        <v>4</v>
      </c>
      <c r="C340" s="2">
        <v>16</v>
      </c>
      <c r="D340" s="2">
        <v>16</v>
      </c>
      <c r="E340">
        <f t="shared" si="30"/>
        <v>54.833333333333172</v>
      </c>
      <c r="F340">
        <f t="shared" si="31"/>
        <v>0.9138888888888862</v>
      </c>
      <c r="G340">
        <f t="shared" si="32"/>
        <v>525.82464303808467</v>
      </c>
      <c r="H340">
        <f t="shared" si="33"/>
        <v>511.85586138943484</v>
      </c>
      <c r="I340">
        <f t="shared" si="34"/>
        <v>102.72904594874259</v>
      </c>
      <c r="J340">
        <f t="shared" si="35"/>
        <v>16.436647351798815</v>
      </c>
    </row>
    <row r="341" spans="1:10" x14ac:dyDescent="0.2">
      <c r="A341" s="2"/>
      <c r="B341" s="2">
        <v>4</v>
      </c>
      <c r="C341" s="2">
        <v>16</v>
      </c>
      <c r="D341" s="2">
        <v>16</v>
      </c>
      <c r="E341">
        <f t="shared" si="30"/>
        <v>54.999999999999837</v>
      </c>
      <c r="F341">
        <f t="shared" si="31"/>
        <v>0.91666666666666397</v>
      </c>
      <c r="G341">
        <f t="shared" si="32"/>
        <v>527.12581471113481</v>
      </c>
      <c r="H341">
        <f t="shared" si="33"/>
        <v>511.85586138943484</v>
      </c>
      <c r="I341">
        <f t="shared" si="34"/>
        <v>102.98325260557721</v>
      </c>
      <c r="J341">
        <f t="shared" si="35"/>
        <v>16.477320416892354</v>
      </c>
    </row>
    <row r="342" spans="1:10" x14ac:dyDescent="0.2">
      <c r="A342" s="2"/>
      <c r="B342" s="2">
        <v>4</v>
      </c>
      <c r="C342" s="2">
        <v>16</v>
      </c>
      <c r="D342" s="2">
        <v>16</v>
      </c>
      <c r="E342">
        <f t="shared" si="30"/>
        <v>55.166666666666501</v>
      </c>
      <c r="F342">
        <f t="shared" si="31"/>
        <v>0.91944444444444173</v>
      </c>
      <c r="G342">
        <f t="shared" si="32"/>
        <v>528.29826811399005</v>
      </c>
      <c r="H342">
        <f t="shared" si="33"/>
        <v>511.85586138943484</v>
      </c>
      <c r="I342">
        <f t="shared" si="34"/>
        <v>103.21231189575953</v>
      </c>
      <c r="J342">
        <f t="shared" si="35"/>
        <v>16.513969903321524</v>
      </c>
    </row>
    <row r="343" spans="1:10" x14ac:dyDescent="0.2">
      <c r="A343" s="2"/>
      <c r="B343" s="2">
        <v>2</v>
      </c>
      <c r="C343" s="2">
        <v>16</v>
      </c>
      <c r="D343" s="2">
        <v>16</v>
      </c>
      <c r="E343">
        <f t="shared" si="30"/>
        <v>55.333333333333172</v>
      </c>
      <c r="F343">
        <f t="shared" si="31"/>
        <v>0.9222222222222195</v>
      </c>
      <c r="G343">
        <f t="shared" si="32"/>
        <v>529.3547366879211</v>
      </c>
      <c r="H343">
        <f t="shared" si="33"/>
        <v>511.85586138943484</v>
      </c>
      <c r="I343">
        <f t="shared" si="34"/>
        <v>103.41871151987701</v>
      </c>
      <c r="J343">
        <f t="shared" si="35"/>
        <v>16.546993843180321</v>
      </c>
    </row>
    <row r="344" spans="1:10" x14ac:dyDescent="0.2">
      <c r="A344" s="2"/>
      <c r="B344" s="2">
        <v>2</v>
      </c>
      <c r="C344" s="2">
        <v>16</v>
      </c>
      <c r="D344" s="2">
        <v>16</v>
      </c>
      <c r="E344">
        <f t="shared" si="30"/>
        <v>55.499999999999837</v>
      </c>
      <c r="F344">
        <f t="shared" si="31"/>
        <v>0.92499999999999727</v>
      </c>
      <c r="G344">
        <f t="shared" si="32"/>
        <v>530.30669421986727</v>
      </c>
      <c r="H344">
        <f t="shared" si="33"/>
        <v>511.85586138943484</v>
      </c>
      <c r="I344">
        <f t="shared" si="34"/>
        <v>103.60469308299949</v>
      </c>
      <c r="J344">
        <f t="shared" si="35"/>
        <v>16.576750893279918</v>
      </c>
    </row>
    <row r="345" spans="1:10" x14ac:dyDescent="0.2">
      <c r="A345" s="2"/>
      <c r="B345" s="2">
        <v>2</v>
      </c>
      <c r="C345" s="2">
        <v>16</v>
      </c>
      <c r="D345" s="2">
        <v>16</v>
      </c>
      <c r="E345">
        <f t="shared" si="30"/>
        <v>55.666666666666501</v>
      </c>
      <c r="F345">
        <f t="shared" si="31"/>
        <v>0.92777777777777504</v>
      </c>
      <c r="G345">
        <f t="shared" si="32"/>
        <v>531.16447945360778</v>
      </c>
      <c r="H345">
        <f t="shared" si="33"/>
        <v>511.85586138943484</v>
      </c>
      <c r="I345">
        <f t="shared" si="34"/>
        <v>103.7722764396523</v>
      </c>
      <c r="J345">
        <f t="shared" si="35"/>
        <v>16.603564230344368</v>
      </c>
    </row>
    <row r="346" spans="1:10" x14ac:dyDescent="0.2">
      <c r="A346" s="2"/>
      <c r="B346" s="2">
        <v>2</v>
      </c>
      <c r="C346" s="2">
        <v>16</v>
      </c>
      <c r="D346" s="2">
        <v>16</v>
      </c>
      <c r="E346">
        <f t="shared" si="30"/>
        <v>55.833333333333165</v>
      </c>
      <c r="F346">
        <f t="shared" si="31"/>
        <v>0.9305555555555528</v>
      </c>
      <c r="G346">
        <f t="shared" si="32"/>
        <v>531.93740837378675</v>
      </c>
      <c r="H346">
        <f t="shared" si="33"/>
        <v>511.85586138943484</v>
      </c>
      <c r="I346">
        <f t="shared" si="34"/>
        <v>103.92328163046535</v>
      </c>
      <c r="J346">
        <f t="shared" si="35"/>
        <v>16.627725060874457</v>
      </c>
    </row>
    <row r="347" spans="1:10" x14ac:dyDescent="0.2">
      <c r="A347" s="2"/>
      <c r="B347" s="2">
        <v>2</v>
      </c>
      <c r="C347" s="2">
        <v>16</v>
      </c>
      <c r="D347" s="2">
        <v>16</v>
      </c>
      <c r="E347">
        <f t="shared" si="30"/>
        <v>55.999999999999837</v>
      </c>
      <c r="F347">
        <f t="shared" si="31"/>
        <v>0.93333333333333057</v>
      </c>
      <c r="G347">
        <f t="shared" si="32"/>
        <v>532.63387538225197</v>
      </c>
      <c r="H347">
        <f t="shared" si="33"/>
        <v>511.85586138943484</v>
      </c>
      <c r="I347">
        <f t="shared" si="34"/>
        <v>104.05934864874169</v>
      </c>
      <c r="J347">
        <f t="shared" si="35"/>
        <v>16.64949578379867</v>
      </c>
    </row>
    <row r="348" spans="1:10" x14ac:dyDescent="0.2">
      <c r="A348" s="2"/>
      <c r="B348" s="2">
        <v>2</v>
      </c>
      <c r="C348" s="2">
        <v>16</v>
      </c>
      <c r="D348" s="2">
        <v>16</v>
      </c>
      <c r="E348">
        <f t="shared" si="30"/>
        <v>56.166666666666501</v>
      </c>
      <c r="F348">
        <f t="shared" si="31"/>
        <v>0.93611111111110834</v>
      </c>
      <c r="G348">
        <f t="shared" si="32"/>
        <v>533.26144446553621</v>
      </c>
      <c r="H348">
        <f t="shared" si="33"/>
        <v>511.85586138943484</v>
      </c>
      <c r="I348">
        <f t="shared" si="34"/>
        <v>104.18195525162022</v>
      </c>
      <c r="J348">
        <f t="shared" si="35"/>
        <v>16.669112840259235</v>
      </c>
    </row>
    <row r="349" spans="1:10" x14ac:dyDescent="0.2">
      <c r="A349" s="2"/>
      <c r="B349" s="2">
        <v>2</v>
      </c>
      <c r="C349" s="2">
        <v>16</v>
      </c>
      <c r="D349" s="2">
        <v>16</v>
      </c>
      <c r="E349">
        <f t="shared" si="30"/>
        <v>56.333333333333165</v>
      </c>
      <c r="F349">
        <f t="shared" si="31"/>
        <v>0.93888888888888611</v>
      </c>
      <c r="G349">
        <f t="shared" si="32"/>
        <v>533.82693134360397</v>
      </c>
      <c r="H349">
        <f t="shared" si="33"/>
        <v>511.85586138943484</v>
      </c>
      <c r="I349">
        <f t="shared" si="34"/>
        <v>104.29243300927111</v>
      </c>
      <c r="J349">
        <f t="shared" si="35"/>
        <v>16.686789281483378</v>
      </c>
    </row>
    <row r="350" spans="1:10" x14ac:dyDescent="0.2">
      <c r="A350" s="2"/>
      <c r="B350" s="2">
        <v>2</v>
      </c>
      <c r="C350" s="2">
        <v>16</v>
      </c>
      <c r="D350" s="2">
        <v>16</v>
      </c>
      <c r="E350">
        <f t="shared" si="30"/>
        <v>56.499999999999829</v>
      </c>
      <c r="F350">
        <f t="shared" si="31"/>
        <v>0.94166666666666388</v>
      </c>
      <c r="G350">
        <f t="shared" si="32"/>
        <v>534.33647749204283</v>
      </c>
      <c r="H350">
        <f t="shared" si="33"/>
        <v>511.85586138943484</v>
      </c>
      <c r="I350">
        <f t="shared" si="34"/>
        <v>104.39198176642626</v>
      </c>
      <c r="J350">
        <f t="shared" si="35"/>
        <v>16.702717082628201</v>
      </c>
    </row>
    <row r="351" spans="1:10" x14ac:dyDescent="0.2">
      <c r="A351" s="2"/>
      <c r="B351" s="2">
        <v>2</v>
      </c>
      <c r="C351" s="2">
        <v>16</v>
      </c>
      <c r="D351" s="2">
        <v>16</v>
      </c>
      <c r="E351">
        <f t="shared" si="30"/>
        <v>56.666666666666501</v>
      </c>
      <c r="F351">
        <f t="shared" si="31"/>
        <v>0.94444444444444164</v>
      </c>
      <c r="G351">
        <f t="shared" si="32"/>
        <v>534.79561684161729</v>
      </c>
      <c r="H351">
        <f t="shared" si="33"/>
        <v>511.85586138943484</v>
      </c>
      <c r="I351">
        <f t="shared" si="34"/>
        <v>104.48168267330425</v>
      </c>
      <c r="J351">
        <f t="shared" si="35"/>
        <v>16.717069227728679</v>
      </c>
    </row>
    <row r="352" spans="1:10" x14ac:dyDescent="0.2">
      <c r="A352" s="2"/>
      <c r="B352" s="2">
        <v>2</v>
      </c>
      <c r="C352" s="2">
        <v>16</v>
      </c>
      <c r="D352" s="2">
        <v>16</v>
      </c>
      <c r="E352">
        <f t="shared" si="30"/>
        <v>56.833333333333165</v>
      </c>
      <c r="F352">
        <f t="shared" si="31"/>
        <v>0.94722222222221941</v>
      </c>
      <c r="G352">
        <f t="shared" si="32"/>
        <v>535.20933587957586</v>
      </c>
      <c r="H352">
        <f t="shared" si="33"/>
        <v>511.85586138943484</v>
      </c>
      <c r="I352">
        <f t="shared" si="34"/>
        <v>104.56250992745262</v>
      </c>
      <c r="J352">
        <f t="shared" si="35"/>
        <v>16.730001588392419</v>
      </c>
    </row>
    <row r="353" spans="1:10" x14ac:dyDescent="0.2">
      <c r="A353" s="2"/>
      <c r="B353" s="2">
        <v>2</v>
      </c>
      <c r="C353" s="2">
        <v>16</v>
      </c>
      <c r="D353" s="2">
        <v>16</v>
      </c>
      <c r="E353">
        <f t="shared" si="30"/>
        <v>56.999999999999829</v>
      </c>
      <c r="F353">
        <f t="shared" si="31"/>
        <v>0.94999999999999718</v>
      </c>
      <c r="G353">
        <f t="shared" si="32"/>
        <v>535.58212780544329</v>
      </c>
      <c r="H353">
        <f t="shared" si="33"/>
        <v>511.85586138943484</v>
      </c>
      <c r="I353">
        <f t="shared" si="34"/>
        <v>104.63534135402952</v>
      </c>
      <c r="J353">
        <f t="shared" si="35"/>
        <v>16.741654616644723</v>
      </c>
    </row>
    <row r="354" spans="1:10" x14ac:dyDescent="0.2">
      <c r="A354" s="2"/>
      <c r="B354" s="2">
        <v>2</v>
      </c>
      <c r="C354" s="2">
        <v>16</v>
      </c>
      <c r="D354" s="2">
        <v>16</v>
      </c>
      <c r="E354">
        <f t="shared" si="30"/>
        <v>57.166666666666494</v>
      </c>
      <c r="F354">
        <f t="shared" si="31"/>
        <v>0.95277777777777495</v>
      </c>
      <c r="G354">
        <f t="shared" si="32"/>
        <v>535.9180413294564</v>
      </c>
      <c r="H354">
        <f t="shared" si="33"/>
        <v>511.85586138943484</v>
      </c>
      <c r="I354">
        <f t="shared" si="34"/>
        <v>104.70096793943216</v>
      </c>
      <c r="J354">
        <f t="shared" si="35"/>
        <v>16.752154870309145</v>
      </c>
    </row>
    <row r="355" spans="1:10" x14ac:dyDescent="0.2">
      <c r="A355" s="2"/>
      <c r="B355" s="2">
        <v>2</v>
      </c>
      <c r="C355" s="2">
        <v>16</v>
      </c>
      <c r="D355" s="2">
        <v>16</v>
      </c>
      <c r="E355">
        <f t="shared" si="30"/>
        <v>57.333333333333165</v>
      </c>
      <c r="F355">
        <f t="shared" si="31"/>
        <v>0.95555555555555272</v>
      </c>
      <c r="G355">
        <f t="shared" si="32"/>
        <v>536.22072464361975</v>
      </c>
      <c r="H355">
        <f t="shared" si="33"/>
        <v>511.85586138943484</v>
      </c>
      <c r="I355">
        <f t="shared" si="34"/>
        <v>104.76010242181195</v>
      </c>
      <c r="J355">
        <f t="shared" si="35"/>
        <v>16.761616387489912</v>
      </c>
    </row>
    <row r="356" spans="1:10" x14ac:dyDescent="0.2">
      <c r="A356" s="2"/>
      <c r="B356" s="2">
        <v>2</v>
      </c>
      <c r="C356" s="2">
        <v>16</v>
      </c>
      <c r="D356" s="2">
        <v>16</v>
      </c>
      <c r="E356">
        <f t="shared" si="30"/>
        <v>57.499999999999829</v>
      </c>
      <c r="F356">
        <f t="shared" si="31"/>
        <v>0.95833333333333048</v>
      </c>
      <c r="G356">
        <f t="shared" si="32"/>
        <v>536.49346504292953</v>
      </c>
      <c r="H356">
        <f t="shared" si="33"/>
        <v>511.85586138943484</v>
      </c>
      <c r="I356">
        <f t="shared" si="34"/>
        <v>104.8133870317741</v>
      </c>
      <c r="J356">
        <f t="shared" si="35"/>
        <v>16.770141925083855</v>
      </c>
    </row>
    <row r="357" spans="1:10" x14ac:dyDescent="0.2">
      <c r="A357" s="2"/>
      <c r="B357" s="2">
        <v>2</v>
      </c>
      <c r="C357" s="2">
        <v>16</v>
      </c>
      <c r="D357" s="2">
        <v>16</v>
      </c>
      <c r="E357">
        <f t="shared" si="30"/>
        <v>57.666666666666494</v>
      </c>
      <c r="F357">
        <f t="shared" si="31"/>
        <v>0.96111111111110825</v>
      </c>
      <c r="G357">
        <f t="shared" si="32"/>
        <v>536.73922462707208</v>
      </c>
      <c r="H357">
        <f t="shared" si="33"/>
        <v>511.85586138943484</v>
      </c>
      <c r="I357">
        <f t="shared" si="34"/>
        <v>104.86140046732908</v>
      </c>
      <c r="J357">
        <f t="shared" si="35"/>
        <v>16.777824074772653</v>
      </c>
    </row>
    <row r="358" spans="1:10" x14ac:dyDescent="0.2">
      <c r="A358" s="2"/>
      <c r="B358" s="2">
        <v>2</v>
      </c>
      <c r="C358" s="2">
        <v>16</v>
      </c>
      <c r="D358" s="2">
        <v>16</v>
      </c>
      <c r="E358">
        <f t="shared" si="30"/>
        <v>57.833333333333158</v>
      </c>
      <c r="F358">
        <f t="shared" si="31"/>
        <v>0.96388888888888602</v>
      </c>
      <c r="G358">
        <f t="shared" si="32"/>
        <v>536.96067247033534</v>
      </c>
      <c r="H358">
        <f t="shared" si="33"/>
        <v>511.85586138943484</v>
      </c>
      <c r="I358">
        <f t="shared" si="34"/>
        <v>104.90466417884781</v>
      </c>
      <c r="J358">
        <f t="shared" si="35"/>
        <v>16.784746268615649</v>
      </c>
    </row>
    <row r="359" spans="1:10" x14ac:dyDescent="0.2">
      <c r="A359" s="2"/>
      <c r="B359" s="2">
        <v>2</v>
      </c>
      <c r="C359" s="2">
        <v>16</v>
      </c>
      <c r="D359" s="2">
        <v>16</v>
      </c>
      <c r="E359">
        <f t="shared" si="30"/>
        <v>57.999999999999829</v>
      </c>
      <c r="F359">
        <f t="shared" si="31"/>
        <v>0.96666666666666379</v>
      </c>
      <c r="G359">
        <f t="shared" si="32"/>
        <v>537.16021360911554</v>
      </c>
      <c r="H359">
        <f t="shared" si="33"/>
        <v>511.85586138943484</v>
      </c>
      <c r="I359">
        <f t="shared" si="34"/>
        <v>104.94364803227845</v>
      </c>
      <c r="J359">
        <f t="shared" si="35"/>
        <v>16.790983685164552</v>
      </c>
    </row>
    <row r="360" spans="1:10" x14ac:dyDescent="0.2">
      <c r="A360" s="2"/>
      <c r="B360" s="2">
        <v>2</v>
      </c>
      <c r="C360" s="2">
        <v>16</v>
      </c>
      <c r="D360" s="2">
        <v>16</v>
      </c>
      <c r="E360">
        <f t="shared" si="30"/>
        <v>58.166666666666494</v>
      </c>
      <c r="F360">
        <f t="shared" si="31"/>
        <v>0.96944444444444156</v>
      </c>
      <c r="G360">
        <f t="shared" si="32"/>
        <v>537.34001516183764</v>
      </c>
      <c r="H360">
        <f t="shared" si="33"/>
        <v>511.85586138943484</v>
      </c>
      <c r="I360">
        <f t="shared" si="34"/>
        <v>104.97877541212988</v>
      </c>
      <c r="J360">
        <f t="shared" si="35"/>
        <v>16.79660406594078</v>
      </c>
    </row>
    <row r="361" spans="1:10" x14ac:dyDescent="0.2">
      <c r="A361" s="2"/>
      <c r="B361" s="2">
        <v>2</v>
      </c>
      <c r="C361" s="2">
        <v>16</v>
      </c>
      <c r="D361" s="2">
        <v>16</v>
      </c>
      <c r="E361">
        <f t="shared" si="30"/>
        <v>58.333333333333158</v>
      </c>
      <c r="F361">
        <f t="shared" si="31"/>
        <v>0.97222222222221932</v>
      </c>
      <c r="G361">
        <f t="shared" si="32"/>
        <v>537.50202986496549</v>
      </c>
      <c r="H361">
        <f t="shared" si="33"/>
        <v>511.85586138943484</v>
      </c>
      <c r="I361">
        <f t="shared" si="34"/>
        <v>105.01042781964323</v>
      </c>
      <c r="J361">
        <f t="shared" si="35"/>
        <v>16.801668451142916</v>
      </c>
    </row>
    <row r="362" spans="1:10" x14ac:dyDescent="0.2">
      <c r="A362" s="2"/>
      <c r="B362" s="2">
        <v>2</v>
      </c>
      <c r="C362" s="2">
        <v>16</v>
      </c>
      <c r="D362" s="2">
        <v>16</v>
      </c>
      <c r="E362">
        <f t="shared" si="30"/>
        <v>58.499999999999822</v>
      </c>
      <c r="F362">
        <f t="shared" si="31"/>
        <v>0.97499999999999709</v>
      </c>
      <c r="G362">
        <f t="shared" si="32"/>
        <v>537.64801728071484</v>
      </c>
      <c r="H362">
        <f t="shared" si="33"/>
        <v>511.85586138943484</v>
      </c>
      <c r="I362">
        <f t="shared" si="34"/>
        <v>105.03894901608963</v>
      </c>
      <c r="J362">
        <f t="shared" si="35"/>
        <v>16.806231842574341</v>
      </c>
    </row>
    <row r="363" spans="1:10" x14ac:dyDescent="0.2">
      <c r="A363" s="2"/>
      <c r="B363" s="2">
        <v>2</v>
      </c>
      <c r="C363" s="2">
        <v>16</v>
      </c>
      <c r="D363" s="2">
        <v>16</v>
      </c>
      <c r="E363">
        <f t="shared" si="30"/>
        <v>58.666666666666494</v>
      </c>
      <c r="F363">
        <f t="shared" si="31"/>
        <v>0.97777777777777486</v>
      </c>
      <c r="G363">
        <f t="shared" si="32"/>
        <v>537.77956290679515</v>
      </c>
      <c r="H363">
        <f t="shared" si="33"/>
        <v>511.85586138943484</v>
      </c>
      <c r="I363">
        <f t="shared" si="34"/>
        <v>105.06464875619288</v>
      </c>
      <c r="J363">
        <f t="shared" si="35"/>
        <v>16.810343800990861</v>
      </c>
    </row>
    <row r="364" spans="1:10" x14ac:dyDescent="0.2">
      <c r="A364" s="2"/>
      <c r="B364" s="2">
        <v>2</v>
      </c>
      <c r="C364" s="2">
        <v>16</v>
      </c>
      <c r="D364" s="2">
        <v>16</v>
      </c>
      <c r="E364">
        <f t="shared" si="30"/>
        <v>58.833333333333158</v>
      </c>
      <c r="F364">
        <f t="shared" si="31"/>
        <v>0.98055555555555263</v>
      </c>
      <c r="G364">
        <f t="shared" si="32"/>
        <v>537.89809539572263</v>
      </c>
      <c r="H364">
        <f t="shared" si="33"/>
        <v>511.85586138943484</v>
      </c>
      <c r="I364">
        <f t="shared" si="34"/>
        <v>105.08780615222342</v>
      </c>
      <c r="J364">
        <f t="shared" si="35"/>
        <v>16.814048984355747</v>
      </c>
    </row>
    <row r="365" spans="1:10" x14ac:dyDescent="0.2">
      <c r="A365" s="2"/>
      <c r="B365" s="2">
        <v>2</v>
      </c>
      <c r="C365" s="2">
        <v>16</v>
      </c>
      <c r="D365" s="2">
        <v>16</v>
      </c>
      <c r="E365">
        <f t="shared" si="30"/>
        <v>58.999999999999822</v>
      </c>
      <c r="F365">
        <f t="shared" si="31"/>
        <v>0.98333333333333039</v>
      </c>
      <c r="G365">
        <f t="shared" si="32"/>
        <v>538.00490207071448</v>
      </c>
      <c r="H365">
        <f t="shared" si="33"/>
        <v>511.85586138943484</v>
      </c>
      <c r="I365">
        <f t="shared" si="34"/>
        <v>105.10867270529988</v>
      </c>
      <c r="J365">
        <f t="shared" si="35"/>
        <v>16.817387632847982</v>
      </c>
    </row>
    <row r="366" spans="1:10" x14ac:dyDescent="0.2">
      <c r="A366" s="2"/>
      <c r="B366" s="2">
        <v>2</v>
      </c>
      <c r="C366" s="2">
        <v>16</v>
      </c>
      <c r="D366" s="2">
        <v>16</v>
      </c>
      <c r="E366">
        <f t="shared" si="30"/>
        <v>59.166666666666487</v>
      </c>
      <c r="F366">
        <f t="shared" si="31"/>
        <v>0.98611111111110816</v>
      </c>
      <c r="G366">
        <f t="shared" si="32"/>
        <v>538.10114290667445</v>
      </c>
      <c r="H366">
        <f t="shared" si="33"/>
        <v>511.85586138943484</v>
      </c>
      <c r="I366">
        <f t="shared" si="34"/>
        <v>105.12747503681929</v>
      </c>
      <c r="J366">
        <f t="shared" si="35"/>
        <v>16.820396005891087</v>
      </c>
    </row>
    <row r="367" spans="1:10" x14ac:dyDescent="0.2">
      <c r="A367" s="2"/>
      <c r="B367" s="2">
        <v>2</v>
      </c>
      <c r="C367" s="2">
        <v>16</v>
      </c>
      <c r="D367" s="2">
        <v>16</v>
      </c>
      <c r="E367">
        <f t="shared" si="30"/>
        <v>59.333333333333158</v>
      </c>
      <c r="F367">
        <f t="shared" si="31"/>
        <v>0.98888888888888593</v>
      </c>
      <c r="G367">
        <f t="shared" si="32"/>
        <v>538.18786312811176</v>
      </c>
      <c r="H367">
        <f t="shared" si="33"/>
        <v>511.85586138943484</v>
      </c>
      <c r="I367">
        <f t="shared" si="34"/>
        <v>105.14441734968094</v>
      </c>
      <c r="J367">
        <f t="shared" si="35"/>
        <v>16.823106775948951</v>
      </c>
    </row>
    <row r="368" spans="1:10" x14ac:dyDescent="0.2">
      <c r="A368" s="2"/>
      <c r="B368" s="2">
        <v>2</v>
      </c>
      <c r="C368" s="2">
        <v>16</v>
      </c>
      <c r="D368" s="2">
        <v>16</v>
      </c>
      <c r="E368">
        <f t="shared" si="30"/>
        <v>59.499999999999822</v>
      </c>
      <c r="F368">
        <f t="shared" si="31"/>
        <v>0.9916666666666637</v>
      </c>
      <c r="G368">
        <f t="shared" si="32"/>
        <v>538.26600456081155</v>
      </c>
      <c r="H368">
        <f t="shared" si="33"/>
        <v>511.85586138943484</v>
      </c>
      <c r="I368">
        <f t="shared" si="34"/>
        <v>105.15968364603393</v>
      </c>
      <c r="J368">
        <f t="shared" si="35"/>
        <v>16.825549383365427</v>
      </c>
    </row>
    <row r="369" spans="1:10" x14ac:dyDescent="0.2">
      <c r="A369" s="2"/>
      <c r="B369" s="2">
        <v>2</v>
      </c>
      <c r="C369" s="2">
        <v>16</v>
      </c>
      <c r="D369" s="2">
        <v>16</v>
      </c>
      <c r="E369">
        <f t="shared" si="30"/>
        <v>59.666666666666487</v>
      </c>
      <c r="F369">
        <f t="shared" si="31"/>
        <v>0.99444444444444147</v>
      </c>
      <c r="G369">
        <f t="shared" si="32"/>
        <v>538.33641586054273</v>
      </c>
      <c r="H369">
        <f t="shared" si="33"/>
        <v>511.85586138943484</v>
      </c>
      <c r="I369">
        <f t="shared" si="34"/>
        <v>105.17343972563415</v>
      </c>
      <c r="J369">
        <f t="shared" si="35"/>
        <v>16.827750356101465</v>
      </c>
    </row>
    <row r="370" spans="1:10" x14ac:dyDescent="0.2">
      <c r="A370" s="2"/>
      <c r="B370" s="2">
        <v>2</v>
      </c>
      <c r="C370" s="2">
        <v>16</v>
      </c>
      <c r="D370" s="2">
        <v>16</v>
      </c>
      <c r="E370">
        <f t="shared" si="30"/>
        <v>59.833333333333151</v>
      </c>
      <c r="F370">
        <f t="shared" si="31"/>
        <v>0.99722222222221923</v>
      </c>
      <c r="G370">
        <f t="shared" si="32"/>
        <v>538.399861729892</v>
      </c>
      <c r="H370">
        <f t="shared" si="33"/>
        <v>511.85586138943484</v>
      </c>
      <c r="I370">
        <f t="shared" si="34"/>
        <v>105.18583498651424</v>
      </c>
      <c r="J370">
        <f t="shared" si="35"/>
        <v>16.829733597842278</v>
      </c>
    </row>
    <row r="371" spans="1:10" x14ac:dyDescent="0.2">
      <c r="A371" s="2"/>
      <c r="B371" s="2">
        <v>2</v>
      </c>
      <c r="C371" s="2">
        <v>16</v>
      </c>
      <c r="D371" s="2">
        <v>16</v>
      </c>
      <c r="E371">
        <f t="shared" si="30"/>
        <v>59.999999999999822</v>
      </c>
      <c r="F371">
        <f t="shared" si="31"/>
        <v>0.999999999999997</v>
      </c>
      <c r="G371">
        <f t="shared" si="32"/>
        <v>538.4570312233235</v>
      </c>
      <c r="H371">
        <f t="shared" si="33"/>
        <v>511.85586138943484</v>
      </c>
      <c r="I371">
        <f t="shared" si="34"/>
        <v>105.19700404752221</v>
      </c>
      <c r="J371">
        <f t="shared" si="35"/>
        <v>16.831520647603554</v>
      </c>
    </row>
    <row r="372" spans="1:10" x14ac:dyDescent="0.2">
      <c r="A372" s="2"/>
      <c r="B372" s="2">
        <v>2</v>
      </c>
      <c r="C372" s="2">
        <v>32</v>
      </c>
      <c r="D372" s="2">
        <v>32</v>
      </c>
      <c r="E372">
        <f t="shared" si="30"/>
        <v>60.166666666666494</v>
      </c>
      <c r="F372">
        <f t="shared" si="31"/>
        <v>1.0027777777777749</v>
      </c>
      <c r="G372">
        <f t="shared" si="32"/>
        <v>591.82686412539408</v>
      </c>
      <c r="H372">
        <f t="shared" si="33"/>
        <v>1023.7117227788697</v>
      </c>
      <c r="I372">
        <f t="shared" si="34"/>
        <v>57.811867438508727</v>
      </c>
      <c r="J372">
        <f t="shared" si="35"/>
        <v>18.499797580322792</v>
      </c>
    </row>
    <row r="373" spans="1:10" x14ac:dyDescent="0.2">
      <c r="A373" s="2"/>
      <c r="B373" s="2">
        <v>1</v>
      </c>
      <c r="C373" s="2">
        <v>32</v>
      </c>
      <c r="D373" s="2">
        <v>32</v>
      </c>
      <c r="E373">
        <f t="shared" si="30"/>
        <v>60.333333333333158</v>
      </c>
      <c r="F373">
        <f t="shared" si="31"/>
        <v>1.0055555555555526</v>
      </c>
      <c r="G373">
        <f t="shared" si="32"/>
        <v>639.91709194995485</v>
      </c>
      <c r="H373">
        <f t="shared" si="33"/>
        <v>1023.7117227788697</v>
      </c>
      <c r="I373">
        <f t="shared" si="34"/>
        <v>62.509501230766148</v>
      </c>
      <c r="J373">
        <f t="shared" si="35"/>
        <v>20.003040393845168</v>
      </c>
    </row>
    <row r="374" spans="1:10" x14ac:dyDescent="0.2">
      <c r="A374" s="2"/>
      <c r="B374" s="2">
        <v>1</v>
      </c>
      <c r="C374" s="2">
        <v>32</v>
      </c>
      <c r="D374" s="2">
        <v>32</v>
      </c>
      <c r="E374">
        <f t="shared" si="30"/>
        <v>60.499999999999822</v>
      </c>
      <c r="F374">
        <f t="shared" si="31"/>
        <v>1.0083333333333304</v>
      </c>
      <c r="G374">
        <f t="shared" si="32"/>
        <v>683.24999907113192</v>
      </c>
      <c r="H374">
        <f t="shared" si="33"/>
        <v>1023.7117227788697</v>
      </c>
      <c r="I374">
        <f t="shared" si="34"/>
        <v>66.742422096764415</v>
      </c>
      <c r="J374">
        <f t="shared" si="35"/>
        <v>21.357575070964614</v>
      </c>
    </row>
    <row r="375" spans="1:10" x14ac:dyDescent="0.2">
      <c r="A375" s="2"/>
      <c r="B375" s="2">
        <v>1</v>
      </c>
      <c r="C375" s="2">
        <v>32</v>
      </c>
      <c r="D375" s="2">
        <v>32</v>
      </c>
      <c r="E375">
        <f t="shared" si="30"/>
        <v>60.666666666666494</v>
      </c>
      <c r="F375">
        <f t="shared" si="31"/>
        <v>1.0111111111111082</v>
      </c>
      <c r="G375">
        <f t="shared" si="32"/>
        <v>722.29620293655751</v>
      </c>
      <c r="H375">
        <f t="shared" si="33"/>
        <v>1023.7117227788697</v>
      </c>
      <c r="I375">
        <f t="shared" si="34"/>
        <v>70.556601713603655</v>
      </c>
      <c r="J375">
        <f t="shared" si="35"/>
        <v>22.578112548353168</v>
      </c>
    </row>
    <row r="376" spans="1:10" x14ac:dyDescent="0.2">
      <c r="A376" s="2"/>
      <c r="B376" s="2">
        <v>1</v>
      </c>
      <c r="C376" s="2">
        <v>32</v>
      </c>
      <c r="D376" s="2">
        <v>32</v>
      </c>
      <c r="E376">
        <f t="shared" si="30"/>
        <v>60.833333333333158</v>
      </c>
      <c r="F376">
        <f t="shared" si="31"/>
        <v>1.013888888888886</v>
      </c>
      <c r="G376">
        <f t="shared" si="32"/>
        <v>757.47976521261091</v>
      </c>
      <c r="H376">
        <f t="shared" si="33"/>
        <v>1023.7117227788697</v>
      </c>
      <c r="I376">
        <f t="shared" si="34"/>
        <v>73.993464015087071</v>
      </c>
      <c r="J376">
        <f t="shared" si="35"/>
        <v>23.677908484827864</v>
      </c>
    </row>
    <row r="377" spans="1:10" x14ac:dyDescent="0.2">
      <c r="A377" s="2"/>
      <c r="B377" s="2">
        <v>1</v>
      </c>
      <c r="C377" s="2">
        <v>32</v>
      </c>
      <c r="D377" s="2">
        <v>32</v>
      </c>
      <c r="E377">
        <f t="shared" si="30"/>
        <v>60.999999999999822</v>
      </c>
      <c r="F377">
        <f t="shared" si="31"/>
        <v>1.0166666666666637</v>
      </c>
      <c r="G377">
        <f t="shared" si="32"/>
        <v>789.1827973101573</v>
      </c>
      <c r="H377">
        <f t="shared" si="33"/>
        <v>1023.7117227788697</v>
      </c>
      <c r="I377">
        <f t="shared" si="34"/>
        <v>77.09033507674576</v>
      </c>
      <c r="J377">
        <f t="shared" si="35"/>
        <v>24.668907224558644</v>
      </c>
    </row>
    <row r="378" spans="1:10" x14ac:dyDescent="0.2">
      <c r="A378" s="2"/>
      <c r="B378" s="2">
        <v>1</v>
      </c>
      <c r="C378" s="2">
        <v>32</v>
      </c>
      <c r="D378" s="2">
        <v>32</v>
      </c>
      <c r="E378">
        <f t="shared" si="30"/>
        <v>61.166666666666487</v>
      </c>
      <c r="F378">
        <f t="shared" si="31"/>
        <v>1.0194444444444415</v>
      </c>
      <c r="G378">
        <f t="shared" si="32"/>
        <v>817.74961030913937</v>
      </c>
      <c r="H378">
        <f t="shared" si="33"/>
        <v>1023.7117227788697</v>
      </c>
      <c r="I378">
        <f t="shared" si="34"/>
        <v>79.880848496035057</v>
      </c>
      <c r="J378">
        <f t="shared" si="35"/>
        <v>25.56187151873122</v>
      </c>
    </row>
    <row r="379" spans="1:10" x14ac:dyDescent="0.2">
      <c r="A379" s="2"/>
      <c r="B379" s="2">
        <v>1</v>
      </c>
      <c r="C379" s="2">
        <v>32</v>
      </c>
      <c r="D379" s="2">
        <v>32</v>
      </c>
      <c r="E379">
        <f t="shared" si="30"/>
        <v>61.333333333333158</v>
      </c>
      <c r="F379">
        <f t="shared" si="31"/>
        <v>1.0222222222222193</v>
      </c>
      <c r="G379">
        <f t="shared" si="32"/>
        <v>843.49045435231744</v>
      </c>
      <c r="H379">
        <f t="shared" si="33"/>
        <v>1023.7117227788697</v>
      </c>
      <c r="I379">
        <f t="shared" si="34"/>
        <v>82.39531067033785</v>
      </c>
      <c r="J379">
        <f t="shared" si="35"/>
        <v>26.366499414508112</v>
      </c>
    </row>
    <row r="380" spans="1:10" x14ac:dyDescent="0.2">
      <c r="A380" s="2"/>
      <c r="B380" s="2">
        <v>1</v>
      </c>
      <c r="C380" s="2">
        <v>32</v>
      </c>
      <c r="D380" s="2">
        <v>32</v>
      </c>
      <c r="E380">
        <f t="shared" si="30"/>
        <v>61.499999999999822</v>
      </c>
      <c r="F380">
        <f t="shared" si="31"/>
        <v>1.024999999999997</v>
      </c>
      <c r="G380">
        <f t="shared" si="32"/>
        <v>866.68488811987947</v>
      </c>
      <c r="H380">
        <f t="shared" si="33"/>
        <v>1023.7117227788697</v>
      </c>
      <c r="I380">
        <f t="shared" si="34"/>
        <v>84.661029939879924</v>
      </c>
      <c r="J380">
        <f t="shared" si="35"/>
        <v>27.091529580761577</v>
      </c>
    </row>
    <row r="381" spans="1:10" x14ac:dyDescent="0.2">
      <c r="A381" s="2"/>
      <c r="B381" s="2">
        <v>1</v>
      </c>
      <c r="C381" s="2">
        <v>32</v>
      </c>
      <c r="D381" s="2">
        <v>32</v>
      </c>
      <c r="E381">
        <f t="shared" si="30"/>
        <v>61.666666666666487</v>
      </c>
      <c r="F381">
        <f t="shared" si="31"/>
        <v>1.0277777777777748</v>
      </c>
      <c r="G381">
        <f t="shared" si="32"/>
        <v>887.5848149791309</v>
      </c>
      <c r="H381">
        <f t="shared" si="33"/>
        <v>1023.7117227788697</v>
      </c>
      <c r="I381">
        <f t="shared" si="34"/>
        <v>86.702613170217319</v>
      </c>
      <c r="J381">
        <f t="shared" si="35"/>
        <v>27.744836214469544</v>
      </c>
    </row>
    <row r="382" spans="1:10" x14ac:dyDescent="0.2">
      <c r="A382" s="2"/>
      <c r="B382" s="2">
        <v>1</v>
      </c>
      <c r="C382" s="2">
        <v>32</v>
      </c>
      <c r="D382" s="2">
        <v>32</v>
      </c>
      <c r="E382">
        <f t="shared" si="30"/>
        <v>61.833333333333151</v>
      </c>
      <c r="F382">
        <f t="shared" si="31"/>
        <v>1.0305555555555526</v>
      </c>
      <c r="G382">
        <f t="shared" si="32"/>
        <v>906.41721878339808</v>
      </c>
      <c r="H382">
        <f t="shared" si="33"/>
        <v>1023.7117227788697</v>
      </c>
      <c r="I382">
        <f t="shared" si="34"/>
        <v>88.542232995332398</v>
      </c>
      <c r="J382">
        <f t="shared" si="35"/>
        <v>28.333514558506366</v>
      </c>
    </row>
    <row r="383" spans="1:10" x14ac:dyDescent="0.2">
      <c r="A383" s="2"/>
      <c r="B383" s="2">
        <v>1</v>
      </c>
      <c r="C383" s="2">
        <v>32</v>
      </c>
      <c r="D383" s="2">
        <v>32</v>
      </c>
      <c r="E383">
        <f t="shared" si="30"/>
        <v>61.999999999999822</v>
      </c>
      <c r="F383">
        <f t="shared" si="31"/>
        <v>1.0333333333333303</v>
      </c>
      <c r="G383">
        <f t="shared" si="32"/>
        <v>923.3866290323142</v>
      </c>
      <c r="H383">
        <f t="shared" si="33"/>
        <v>1023.7117227788697</v>
      </c>
      <c r="I383">
        <f t="shared" si="34"/>
        <v>90.199868623734957</v>
      </c>
      <c r="J383">
        <f t="shared" si="35"/>
        <v>28.863957959595187</v>
      </c>
    </row>
    <row r="384" spans="1:10" x14ac:dyDescent="0.2">
      <c r="A384" s="2"/>
      <c r="B384" s="2">
        <v>1</v>
      </c>
      <c r="C384" s="2">
        <v>32</v>
      </c>
      <c r="D384" s="2">
        <v>32</v>
      </c>
      <c r="E384">
        <f t="shared" si="30"/>
        <v>62.166666666666487</v>
      </c>
      <c r="F384">
        <f t="shared" si="31"/>
        <v>1.0361111111111081</v>
      </c>
      <c r="G384">
        <f t="shared" si="32"/>
        <v>938.67734216638416</v>
      </c>
      <c r="H384">
        <f t="shared" si="33"/>
        <v>1023.7117227788697</v>
      </c>
      <c r="I384">
        <f t="shared" si="34"/>
        <v>91.693522822845154</v>
      </c>
      <c r="J384">
        <f t="shared" si="35"/>
        <v>29.341927303310449</v>
      </c>
    </row>
    <row r="385" spans="1:10" x14ac:dyDescent="0.2">
      <c r="A385" s="2"/>
      <c r="B385" s="2">
        <v>1</v>
      </c>
      <c r="C385" s="2">
        <v>32</v>
      </c>
      <c r="D385" s="2">
        <v>32</v>
      </c>
      <c r="E385">
        <f t="shared" si="30"/>
        <v>62.333333333333151</v>
      </c>
      <c r="F385">
        <f t="shared" si="31"/>
        <v>1.0388888888888859</v>
      </c>
      <c r="G385">
        <f t="shared" si="32"/>
        <v>952.45542312022019</v>
      </c>
      <c r="H385">
        <f t="shared" si="33"/>
        <v>1023.7117227788697</v>
      </c>
      <c r="I385">
        <f t="shared" si="34"/>
        <v>93.039417438219431</v>
      </c>
      <c r="J385">
        <f t="shared" si="35"/>
        <v>29.772613580230217</v>
      </c>
    </row>
    <row r="386" spans="1:10" x14ac:dyDescent="0.2">
      <c r="A386" s="2"/>
      <c r="B386" s="2">
        <v>1</v>
      </c>
      <c r="C386" s="2">
        <v>32</v>
      </c>
      <c r="D386" s="2">
        <v>32</v>
      </c>
      <c r="E386">
        <f t="shared" si="30"/>
        <v>62.499999999999815</v>
      </c>
      <c r="F386">
        <f t="shared" si="31"/>
        <v>1.0416666666666636</v>
      </c>
      <c r="G386">
        <f t="shared" si="32"/>
        <v>964.87050887233454</v>
      </c>
      <c r="H386">
        <f t="shared" si="33"/>
        <v>1023.7117227788697</v>
      </c>
      <c r="I386">
        <f t="shared" si="34"/>
        <v>94.252169571057522</v>
      </c>
      <c r="J386">
        <f t="shared" si="35"/>
        <v>30.160694262738406</v>
      </c>
    </row>
    <row r="387" spans="1:10" x14ac:dyDescent="0.2">
      <c r="A387" s="2"/>
      <c r="B387" s="2">
        <v>1</v>
      </c>
      <c r="C387" s="2">
        <v>32</v>
      </c>
      <c r="D387" s="2">
        <v>32</v>
      </c>
      <c r="E387">
        <f t="shared" si="30"/>
        <v>62.666666666666487</v>
      </c>
      <c r="F387">
        <f t="shared" si="31"/>
        <v>1.0444444444444414</v>
      </c>
      <c r="G387">
        <f t="shared" si="32"/>
        <v>976.05743357895983</v>
      </c>
      <c r="H387">
        <f t="shared" si="33"/>
        <v>1023.7117227788697</v>
      </c>
      <c r="I387">
        <f t="shared" si="34"/>
        <v>95.344950327368323</v>
      </c>
      <c r="J387">
        <f t="shared" si="35"/>
        <v>30.510384104757865</v>
      </c>
    </row>
    <row r="388" spans="1:10" x14ac:dyDescent="0.2">
      <c r="A388" s="2"/>
      <c r="B388" s="2">
        <v>1</v>
      </c>
      <c r="C388" s="2">
        <v>32</v>
      </c>
      <c r="D388" s="2">
        <v>32</v>
      </c>
      <c r="E388">
        <f t="shared" si="30"/>
        <v>62.833333333333151</v>
      </c>
      <c r="F388">
        <f t="shared" si="31"/>
        <v>1.0472222222222192</v>
      </c>
      <c r="G388">
        <f t="shared" si="32"/>
        <v>986.13769294167832</v>
      </c>
      <c r="H388">
        <f t="shared" si="33"/>
        <v>1023.7117227788697</v>
      </c>
      <c r="I388">
        <f t="shared" si="34"/>
        <v>96.329627862891272</v>
      </c>
      <c r="J388">
        <f t="shared" si="35"/>
        <v>30.825480916125208</v>
      </c>
    </row>
    <row r="389" spans="1:10" x14ac:dyDescent="0.2">
      <c r="A389" s="2"/>
      <c r="B389" s="2">
        <v>1</v>
      </c>
      <c r="C389" s="2">
        <v>32</v>
      </c>
      <c r="D389" s="2">
        <v>32</v>
      </c>
      <c r="E389">
        <f t="shared" si="30"/>
        <v>62.999999999999815</v>
      </c>
      <c r="F389">
        <f t="shared" si="31"/>
        <v>1.0499999999999969</v>
      </c>
      <c r="G389">
        <f t="shared" si="32"/>
        <v>995.2207637126379</v>
      </c>
      <c r="H389">
        <f t="shared" si="33"/>
        <v>1023.7117227788697</v>
      </c>
      <c r="I389">
        <f t="shared" si="34"/>
        <v>97.216896277313992</v>
      </c>
      <c r="J389">
        <f t="shared" si="35"/>
        <v>31.109406808740477</v>
      </c>
    </row>
    <row r="390" spans="1:10" x14ac:dyDescent="0.2">
      <c r="A390" s="2"/>
      <c r="B390" s="2">
        <v>1</v>
      </c>
      <c r="C390" s="2">
        <v>32</v>
      </c>
      <c r="D390" s="2">
        <v>32</v>
      </c>
      <c r="E390">
        <f t="shared" si="30"/>
        <v>63.16666666666648</v>
      </c>
      <c r="F390">
        <f t="shared" si="31"/>
        <v>1.0527777777777747</v>
      </c>
      <c r="G390">
        <f t="shared" si="32"/>
        <v>1003.4052926678543</v>
      </c>
      <c r="H390">
        <f t="shared" si="33"/>
        <v>1023.7117227788697</v>
      </c>
      <c r="I390">
        <f t="shared" si="34"/>
        <v>98.016391757643106</v>
      </c>
      <c r="J390">
        <f t="shared" si="35"/>
        <v>31.365245362445794</v>
      </c>
    </row>
    <row r="391" spans="1:10" x14ac:dyDescent="0.2">
      <c r="A391" s="2"/>
      <c r="B391" s="2">
        <v>1</v>
      </c>
      <c r="C391" s="2">
        <v>32</v>
      </c>
      <c r="D391" s="2">
        <v>32</v>
      </c>
      <c r="E391">
        <f t="shared" si="30"/>
        <v>63.333333333333151</v>
      </c>
      <c r="F391">
        <f t="shared" si="31"/>
        <v>1.0555555555555525</v>
      </c>
      <c r="G391">
        <f t="shared" si="32"/>
        <v>1010.7801679614548</v>
      </c>
      <c r="H391">
        <f t="shared" si="33"/>
        <v>1023.7117227788697</v>
      </c>
      <c r="I391">
        <f t="shared" si="34"/>
        <v>98.736797232104351</v>
      </c>
      <c r="J391">
        <f t="shared" si="35"/>
        <v>31.595775114273394</v>
      </c>
    </row>
    <row r="392" spans="1:10" x14ac:dyDescent="0.2">
      <c r="A392" s="2"/>
      <c r="B392" s="2">
        <v>1</v>
      </c>
      <c r="C392" s="2">
        <v>32</v>
      </c>
      <c r="D392" s="2">
        <v>32</v>
      </c>
      <c r="E392">
        <f t="shared" si="30"/>
        <v>63.499999999999815</v>
      </c>
      <c r="F392">
        <f t="shared" si="31"/>
        <v>1.0583333333333302</v>
      </c>
      <c r="G392">
        <f t="shared" si="32"/>
        <v>1017.4254844963173</v>
      </c>
      <c r="H392">
        <f t="shared" si="33"/>
        <v>1023.7117227788697</v>
      </c>
      <c r="I392">
        <f t="shared" si="34"/>
        <v>99.385936671166718</v>
      </c>
      <c r="J392">
        <f t="shared" si="35"/>
        <v>31.80349973477335</v>
      </c>
    </row>
    <row r="393" spans="1:10" x14ac:dyDescent="0.2">
      <c r="A393" s="2"/>
      <c r="B393" s="2">
        <v>1</v>
      </c>
      <c r="C393" s="2">
        <v>32</v>
      </c>
      <c r="D393" s="2">
        <v>32</v>
      </c>
      <c r="E393">
        <f t="shared" si="30"/>
        <v>63.66666666666648</v>
      </c>
      <c r="F393">
        <f t="shared" si="31"/>
        <v>1.061111111111108</v>
      </c>
      <c r="G393">
        <f t="shared" si="32"/>
        <v>1023.4134137955199</v>
      </c>
      <c r="H393">
        <f t="shared" si="33"/>
        <v>1023.7117227788697</v>
      </c>
      <c r="I393">
        <f t="shared" si="34"/>
        <v>99.970860059847709</v>
      </c>
      <c r="J393">
        <f t="shared" si="35"/>
        <v>31.990675219151267</v>
      </c>
    </row>
    <row r="394" spans="1:10" x14ac:dyDescent="0.2">
      <c r="A394" s="2"/>
      <c r="B394" s="2">
        <v>1</v>
      </c>
      <c r="C394" s="2">
        <v>32</v>
      </c>
      <c r="D394" s="2">
        <v>32</v>
      </c>
      <c r="E394">
        <f t="shared" si="30"/>
        <v>63.833333333333144</v>
      </c>
      <c r="F394">
        <f t="shared" si="31"/>
        <v>1.0638888888888858</v>
      </c>
      <c r="G394">
        <f t="shared" si="32"/>
        <v>1028.8089878218507</v>
      </c>
      <c r="H394">
        <f t="shared" si="33"/>
        <v>1023.7117227788697</v>
      </c>
      <c r="I394">
        <f t="shared" si="34"/>
        <v>100.4979199641423</v>
      </c>
      <c r="J394">
        <f t="shared" si="35"/>
        <v>32.159334388525536</v>
      </c>
    </row>
    <row r="395" spans="1:10" x14ac:dyDescent="0.2">
      <c r="A395" s="2"/>
      <c r="B395" s="2">
        <v>1</v>
      </c>
      <c r="C395" s="2">
        <v>32</v>
      </c>
      <c r="D395" s="2">
        <v>32</v>
      </c>
      <c r="E395">
        <f t="shared" si="30"/>
        <v>63.999999999999815</v>
      </c>
      <c r="F395">
        <f t="shared" si="31"/>
        <v>1.0666666666666635</v>
      </c>
      <c r="G395">
        <f t="shared" si="32"/>
        <v>1033.6708052580536</v>
      </c>
      <c r="H395">
        <f t="shared" si="33"/>
        <v>1023.7117227788697</v>
      </c>
      <c r="I395">
        <f t="shared" si="34"/>
        <v>100.97284052312598</v>
      </c>
      <c r="J395">
        <f t="shared" si="35"/>
        <v>32.311308967400315</v>
      </c>
    </row>
    <row r="396" spans="1:10" x14ac:dyDescent="0.2">
      <c r="A396" s="2"/>
      <c r="B396" s="2">
        <v>1</v>
      </c>
      <c r="C396" s="2">
        <v>32</v>
      </c>
      <c r="D396" s="2">
        <v>32</v>
      </c>
      <c r="E396">
        <f t="shared" ref="E396:E459" si="36">F396*60</f>
        <v>64.166666666666472</v>
      </c>
      <c r="F396">
        <f t="shared" ref="F396:F432" si="37">Tsamp+F395</f>
        <v>1.0694444444444413</v>
      </c>
      <c r="G396">
        <f t="shared" ref="G396:G459" si="38">Tsamp*$D396*G$3/G$5+G$8*G395</f>
        <v>1038.0516679183779</v>
      </c>
      <c r="H396">
        <f t="shared" ref="H396:H459" si="39">$D396*$G$3/$G$6</f>
        <v>1023.7117227788697</v>
      </c>
      <c r="I396">
        <f t="shared" ref="I396:I459" si="40">G396/H396*100</f>
        <v>101.40077961602142</v>
      </c>
      <c r="J396">
        <f t="shared" si="35"/>
        <v>32.448249477126858</v>
      </c>
    </row>
    <row r="397" spans="1:10" x14ac:dyDescent="0.2">
      <c r="A397" s="2"/>
      <c r="B397" s="2">
        <v>1</v>
      </c>
      <c r="C397" s="2">
        <v>32</v>
      </c>
      <c r="D397" s="2">
        <v>32</v>
      </c>
      <c r="E397">
        <f t="shared" si="36"/>
        <v>64.333333333333144</v>
      </c>
      <c r="F397">
        <f t="shared" si="37"/>
        <v>1.0722222222222191</v>
      </c>
      <c r="G397">
        <f t="shared" si="38"/>
        <v>1041.9991542031801</v>
      </c>
      <c r="H397">
        <f t="shared" si="39"/>
        <v>1023.7117227788697</v>
      </c>
      <c r="I397">
        <f t="shared" si="40"/>
        <v>101.78638487939446</v>
      </c>
      <c r="J397">
        <f t="shared" ref="J397:J460" si="41">($I397/100)*$D397</f>
        <v>32.571643161406229</v>
      </c>
    </row>
    <row r="398" spans="1:10" x14ac:dyDescent="0.2">
      <c r="A398" s="2"/>
      <c r="B398" s="2">
        <v>1</v>
      </c>
      <c r="C398" s="2">
        <v>32</v>
      </c>
      <c r="D398" s="2">
        <v>32</v>
      </c>
      <c r="E398">
        <f t="shared" si="36"/>
        <v>64.499999999999815</v>
      </c>
      <c r="F398">
        <f t="shared" si="37"/>
        <v>1.0749999999999968</v>
      </c>
      <c r="G398">
        <f t="shared" si="38"/>
        <v>1045.5561358245914</v>
      </c>
      <c r="H398">
        <f t="shared" si="39"/>
        <v>1023.7117227788697</v>
      </c>
      <c r="I398">
        <f t="shared" si="40"/>
        <v>102.133844182855</v>
      </c>
      <c r="J398">
        <f t="shared" si="41"/>
        <v>32.682830138513602</v>
      </c>
    </row>
    <row r="399" spans="1:10" x14ac:dyDescent="0.2">
      <c r="A399" s="2"/>
      <c r="B399" s="2">
        <v>1</v>
      </c>
      <c r="C399" s="2">
        <v>32</v>
      </c>
      <c r="D399" s="2">
        <v>32</v>
      </c>
      <c r="E399">
        <f t="shared" si="36"/>
        <v>64.666666666666472</v>
      </c>
      <c r="F399">
        <f t="shared" si="37"/>
        <v>1.0777777777777746</v>
      </c>
      <c r="G399">
        <f t="shared" si="38"/>
        <v>1048.7612434151533</v>
      </c>
      <c r="H399">
        <f t="shared" si="39"/>
        <v>1023.7117227788697</v>
      </c>
      <c r="I399">
        <f t="shared" si="40"/>
        <v>102.44693111145455</v>
      </c>
      <c r="J399">
        <f t="shared" si="41"/>
        <v>32.783017955665457</v>
      </c>
    </row>
    <row r="400" spans="1:10" x14ac:dyDescent="0.2">
      <c r="A400" s="2"/>
      <c r="B400" s="2">
        <v>1</v>
      </c>
      <c r="C400" s="2">
        <v>32</v>
      </c>
      <c r="D400" s="2">
        <v>32</v>
      </c>
      <c r="E400">
        <f t="shared" si="36"/>
        <v>64.833333333333144</v>
      </c>
      <c r="F400">
        <f t="shared" si="37"/>
        <v>1.0805555555555524</v>
      </c>
      <c r="G400">
        <f t="shared" si="38"/>
        <v>1051.6492860761671</v>
      </c>
      <c r="H400">
        <f t="shared" si="39"/>
        <v>1023.7117227788697</v>
      </c>
      <c r="I400">
        <f t="shared" si="40"/>
        <v>102.72904594874237</v>
      </c>
      <c r="J400">
        <f t="shared" si="41"/>
        <v>32.873294703597558</v>
      </c>
    </row>
    <row r="401" spans="1:10" x14ac:dyDescent="0.2">
      <c r="A401" s="2"/>
      <c r="B401" s="2">
        <v>1</v>
      </c>
      <c r="C401" s="2">
        <v>32</v>
      </c>
      <c r="D401" s="2">
        <v>32</v>
      </c>
      <c r="E401">
        <f t="shared" si="36"/>
        <v>64.999999999999815</v>
      </c>
      <c r="F401">
        <f t="shared" si="37"/>
        <v>1.0833333333333302</v>
      </c>
      <c r="G401">
        <f t="shared" si="38"/>
        <v>1054.2516294222676</v>
      </c>
      <c r="H401">
        <f t="shared" si="39"/>
        <v>1023.7117227788697</v>
      </c>
      <c r="I401">
        <f t="shared" si="40"/>
        <v>102.98325260557701</v>
      </c>
      <c r="J401">
        <f t="shared" si="41"/>
        <v>32.954640833784644</v>
      </c>
    </row>
    <row r="402" spans="1:10" x14ac:dyDescent="0.2">
      <c r="A402" s="2"/>
      <c r="B402" s="2">
        <v>1</v>
      </c>
      <c r="C402" s="2">
        <v>32</v>
      </c>
      <c r="D402" s="2">
        <v>32</v>
      </c>
      <c r="E402">
        <f t="shared" si="36"/>
        <v>65.166666666666472</v>
      </c>
      <c r="F402">
        <f t="shared" si="37"/>
        <v>1.0861111111111079</v>
      </c>
      <c r="G402">
        <f t="shared" si="38"/>
        <v>1056.5965362279783</v>
      </c>
      <c r="H402">
        <f t="shared" si="39"/>
        <v>1023.7117227788697</v>
      </c>
      <c r="I402">
        <f t="shared" si="40"/>
        <v>103.21231189575934</v>
      </c>
      <c r="J402">
        <f t="shared" si="41"/>
        <v>33.027939806642991</v>
      </c>
    </row>
    <row r="403" spans="1:10" x14ac:dyDescent="0.2">
      <c r="A403" s="2"/>
      <c r="B403" s="2">
        <v>0.5</v>
      </c>
      <c r="C403" s="2">
        <v>32</v>
      </c>
      <c r="D403" s="2">
        <v>32</v>
      </c>
      <c r="E403">
        <f t="shared" si="36"/>
        <v>65.333333333333144</v>
      </c>
      <c r="F403">
        <f t="shared" si="37"/>
        <v>1.0888888888888857</v>
      </c>
      <c r="G403">
        <f t="shared" si="38"/>
        <v>1058.7094733758406</v>
      </c>
      <c r="H403">
        <f t="shared" si="39"/>
        <v>1023.7117227788697</v>
      </c>
      <c r="I403">
        <f t="shared" si="40"/>
        <v>103.41871151987685</v>
      </c>
      <c r="J403">
        <f t="shared" si="41"/>
        <v>33.093987686360592</v>
      </c>
    </row>
    <row r="404" spans="1:10" x14ac:dyDescent="0.2">
      <c r="A404" s="2"/>
      <c r="B404" s="2">
        <v>0.5</v>
      </c>
      <c r="C404" s="2">
        <v>32</v>
      </c>
      <c r="D404" s="2">
        <v>32</v>
      </c>
      <c r="E404">
        <f t="shared" si="36"/>
        <v>65.499999999999801</v>
      </c>
      <c r="F404">
        <f t="shared" si="37"/>
        <v>1.0916666666666635</v>
      </c>
      <c r="G404">
        <f t="shared" si="38"/>
        <v>1060.6133884397332</v>
      </c>
      <c r="H404">
        <f t="shared" si="39"/>
        <v>1023.7117227788697</v>
      </c>
      <c r="I404">
        <f t="shared" si="40"/>
        <v>103.60469308299936</v>
      </c>
      <c r="J404">
        <f t="shared" si="41"/>
        <v>33.153501786559794</v>
      </c>
    </row>
    <row r="405" spans="1:10" x14ac:dyDescent="0.2">
      <c r="A405" s="2"/>
      <c r="B405" s="2">
        <v>0.5</v>
      </c>
      <c r="C405" s="2">
        <v>32</v>
      </c>
      <c r="D405" s="2">
        <v>32</v>
      </c>
      <c r="E405">
        <f t="shared" si="36"/>
        <v>65.666666666666472</v>
      </c>
      <c r="F405">
        <f t="shared" si="37"/>
        <v>1.0944444444444412</v>
      </c>
      <c r="G405">
        <f t="shared" si="38"/>
        <v>1062.3289589072144</v>
      </c>
      <c r="H405">
        <f t="shared" si="39"/>
        <v>1023.7117227788697</v>
      </c>
      <c r="I405">
        <f t="shared" si="40"/>
        <v>103.77227643965219</v>
      </c>
      <c r="J405">
        <f t="shared" si="41"/>
        <v>33.2071284606887</v>
      </c>
    </row>
    <row r="406" spans="1:10" x14ac:dyDescent="0.2">
      <c r="A406" s="2"/>
      <c r="B406" s="2">
        <v>0.5</v>
      </c>
      <c r="C406" s="2">
        <v>32</v>
      </c>
      <c r="D406" s="2">
        <v>32</v>
      </c>
      <c r="E406">
        <f t="shared" si="36"/>
        <v>65.833333333333144</v>
      </c>
      <c r="F406">
        <f t="shared" si="37"/>
        <v>1.097222222222219</v>
      </c>
      <c r="G406">
        <f t="shared" si="38"/>
        <v>1063.8748167475724</v>
      </c>
      <c r="H406">
        <f t="shared" si="39"/>
        <v>1023.7117227788697</v>
      </c>
      <c r="I406">
        <f t="shared" si="40"/>
        <v>103.92328163046525</v>
      </c>
      <c r="J406">
        <f t="shared" si="41"/>
        <v>33.255450121748879</v>
      </c>
    </row>
    <row r="407" spans="1:10" x14ac:dyDescent="0.2">
      <c r="A407" s="2"/>
      <c r="B407" s="2">
        <v>0.5</v>
      </c>
      <c r="C407" s="2">
        <v>32</v>
      </c>
      <c r="D407" s="2">
        <v>32</v>
      </c>
      <c r="E407">
        <f t="shared" si="36"/>
        <v>65.999999999999801</v>
      </c>
      <c r="F407">
        <f t="shared" si="37"/>
        <v>1.0999999999999968</v>
      </c>
      <c r="G407">
        <f t="shared" si="38"/>
        <v>1065.267750764503</v>
      </c>
      <c r="H407">
        <f t="shared" si="39"/>
        <v>1023.7117227788697</v>
      </c>
      <c r="I407">
        <f t="shared" si="40"/>
        <v>104.0593486487416</v>
      </c>
      <c r="J407">
        <f t="shared" si="41"/>
        <v>33.298991567597312</v>
      </c>
    </row>
    <row r="408" spans="1:10" x14ac:dyDescent="0.2">
      <c r="A408" s="2"/>
      <c r="B408" s="2">
        <v>0.5</v>
      </c>
      <c r="C408" s="2">
        <v>32</v>
      </c>
      <c r="D408" s="2">
        <v>32</v>
      </c>
      <c r="E408">
        <f t="shared" si="36"/>
        <v>66.166666666666472</v>
      </c>
      <c r="F408">
        <f t="shared" si="37"/>
        <v>1.1027777777777745</v>
      </c>
      <c r="G408">
        <f t="shared" si="38"/>
        <v>1066.5228889310715</v>
      </c>
      <c r="H408">
        <f t="shared" si="39"/>
        <v>1023.7117227788697</v>
      </c>
      <c r="I408">
        <f t="shared" si="40"/>
        <v>104.18195525162012</v>
      </c>
      <c r="J408">
        <f t="shared" si="41"/>
        <v>33.338225680518441</v>
      </c>
    </row>
    <row r="409" spans="1:10" x14ac:dyDescent="0.2">
      <c r="A409" s="2"/>
      <c r="B409" s="2">
        <v>0.5</v>
      </c>
      <c r="C409" s="2">
        <v>32</v>
      </c>
      <c r="D409" s="2">
        <v>32</v>
      </c>
      <c r="E409">
        <f t="shared" si="36"/>
        <v>66.333333333333144</v>
      </c>
      <c r="F409">
        <f t="shared" si="37"/>
        <v>1.1055555555555523</v>
      </c>
      <c r="G409">
        <f t="shared" si="38"/>
        <v>1067.653862687207</v>
      </c>
      <c r="H409">
        <f t="shared" si="39"/>
        <v>1023.7117227788697</v>
      </c>
      <c r="I409">
        <f t="shared" si="40"/>
        <v>104.29243300927102</v>
      </c>
      <c r="J409">
        <f t="shared" si="41"/>
        <v>33.373578562966728</v>
      </c>
    </row>
    <row r="410" spans="1:10" x14ac:dyDescent="0.2">
      <c r="A410" s="2"/>
      <c r="B410" s="2">
        <v>0.5</v>
      </c>
      <c r="C410" s="2">
        <v>32</v>
      </c>
      <c r="D410" s="2">
        <v>32</v>
      </c>
      <c r="E410">
        <f t="shared" si="36"/>
        <v>66.499999999999801</v>
      </c>
      <c r="F410">
        <f t="shared" si="37"/>
        <v>1.1083333333333301</v>
      </c>
      <c r="G410">
        <f t="shared" si="38"/>
        <v>1068.672954984085</v>
      </c>
      <c r="H410">
        <f t="shared" si="39"/>
        <v>1023.7117227788697</v>
      </c>
      <c r="I410">
        <f t="shared" si="40"/>
        <v>104.39198176642618</v>
      </c>
      <c r="J410">
        <f t="shared" si="41"/>
        <v>33.405434165256381</v>
      </c>
    </row>
    <row r="411" spans="1:10" x14ac:dyDescent="0.2">
      <c r="A411" s="2"/>
      <c r="B411" s="2">
        <v>0.5</v>
      </c>
      <c r="C411" s="2">
        <v>32</v>
      </c>
      <c r="D411" s="2">
        <v>32</v>
      </c>
      <c r="E411">
        <f t="shared" si="36"/>
        <v>66.666666666666472</v>
      </c>
      <c r="F411">
        <f t="shared" si="37"/>
        <v>1.1111111111111078</v>
      </c>
      <c r="G411">
        <f t="shared" si="38"/>
        <v>1069.5912336832339</v>
      </c>
      <c r="H411">
        <f t="shared" si="39"/>
        <v>1023.7117227788697</v>
      </c>
      <c r="I411">
        <f t="shared" si="40"/>
        <v>104.48168267330418</v>
      </c>
      <c r="J411">
        <f t="shared" si="41"/>
        <v>33.434138455457337</v>
      </c>
    </row>
    <row r="412" spans="1:10" x14ac:dyDescent="0.2">
      <c r="A412" s="2"/>
      <c r="B412" s="2">
        <v>0.5</v>
      </c>
      <c r="C412" s="2">
        <v>32</v>
      </c>
      <c r="D412" s="2">
        <v>32</v>
      </c>
      <c r="E412">
        <f t="shared" si="36"/>
        <v>66.83333333333313</v>
      </c>
      <c r="F412">
        <f t="shared" si="37"/>
        <v>1.1138888888888856</v>
      </c>
      <c r="G412">
        <f t="shared" si="38"/>
        <v>1070.4186717591513</v>
      </c>
      <c r="H412">
        <f t="shared" si="39"/>
        <v>1023.7117227788697</v>
      </c>
      <c r="I412">
        <f t="shared" si="40"/>
        <v>104.56250992745257</v>
      </c>
      <c r="J412">
        <f t="shared" si="41"/>
        <v>33.460003176784824</v>
      </c>
    </row>
    <row r="413" spans="1:10" x14ac:dyDescent="0.2">
      <c r="A413" s="2"/>
      <c r="B413" s="2">
        <v>0.5</v>
      </c>
      <c r="C413" s="2">
        <v>32</v>
      </c>
      <c r="D413" s="2">
        <v>32</v>
      </c>
      <c r="E413">
        <f t="shared" si="36"/>
        <v>66.999999999999801</v>
      </c>
      <c r="F413">
        <f t="shared" si="37"/>
        <v>1.1166666666666634</v>
      </c>
      <c r="G413">
        <f t="shared" si="38"/>
        <v>1071.1642556108864</v>
      </c>
      <c r="H413">
        <f t="shared" si="39"/>
        <v>1023.7117227788697</v>
      </c>
      <c r="I413">
        <f t="shared" si="40"/>
        <v>104.63534135402949</v>
      </c>
      <c r="J413">
        <f t="shared" si="41"/>
        <v>33.48330923328944</v>
      </c>
    </row>
    <row r="414" spans="1:10" x14ac:dyDescent="0.2">
      <c r="A414" s="2"/>
      <c r="B414" s="2">
        <v>0.5</v>
      </c>
      <c r="C414" s="2">
        <v>32</v>
      </c>
      <c r="D414" s="2">
        <v>32</v>
      </c>
      <c r="E414">
        <f t="shared" si="36"/>
        <v>67.166666666666472</v>
      </c>
      <c r="F414">
        <f t="shared" si="37"/>
        <v>1.1194444444444411</v>
      </c>
      <c r="G414">
        <f t="shared" si="38"/>
        <v>1071.8360826589126</v>
      </c>
      <c r="H414">
        <f t="shared" si="39"/>
        <v>1023.7117227788697</v>
      </c>
      <c r="I414">
        <f t="shared" si="40"/>
        <v>104.70096793943213</v>
      </c>
      <c r="J414">
        <f t="shared" si="41"/>
        <v>33.504309740618282</v>
      </c>
    </row>
    <row r="415" spans="1:10" x14ac:dyDescent="0.2">
      <c r="A415" s="2"/>
      <c r="B415" s="2">
        <v>0.5</v>
      </c>
      <c r="C415" s="2">
        <v>32</v>
      </c>
      <c r="D415" s="2">
        <v>32</v>
      </c>
      <c r="E415">
        <f t="shared" si="36"/>
        <v>67.33333333333313</v>
      </c>
      <c r="F415">
        <f t="shared" si="37"/>
        <v>1.1222222222222189</v>
      </c>
      <c r="G415">
        <f t="shared" si="38"/>
        <v>1072.4414492872393</v>
      </c>
      <c r="H415">
        <f t="shared" si="39"/>
        <v>1023.7117227788697</v>
      </c>
      <c r="I415">
        <f t="shared" si="40"/>
        <v>104.76010242181192</v>
      </c>
      <c r="J415">
        <f t="shared" si="41"/>
        <v>33.523232774979817</v>
      </c>
    </row>
    <row r="416" spans="1:10" x14ac:dyDescent="0.2">
      <c r="A416" s="2"/>
      <c r="B416" s="2">
        <v>0.5</v>
      </c>
      <c r="C416" s="2">
        <v>32</v>
      </c>
      <c r="D416" s="2">
        <v>32</v>
      </c>
      <c r="E416">
        <f t="shared" si="36"/>
        <v>67.499999999999801</v>
      </c>
      <c r="F416">
        <f t="shared" si="37"/>
        <v>1.1249999999999967</v>
      </c>
      <c r="G416">
        <f t="shared" si="38"/>
        <v>1072.9869300858588</v>
      </c>
      <c r="H416">
        <f t="shared" si="39"/>
        <v>1023.7117227788697</v>
      </c>
      <c r="I416">
        <f t="shared" si="40"/>
        <v>104.81338703177407</v>
      </c>
      <c r="J416">
        <f t="shared" si="41"/>
        <v>33.540283850167704</v>
      </c>
    </row>
    <row r="417" spans="1:10" x14ac:dyDescent="0.2">
      <c r="A417" s="2"/>
      <c r="B417" s="2">
        <v>0.5</v>
      </c>
      <c r="C417" s="2">
        <v>32</v>
      </c>
      <c r="D417" s="2">
        <v>32</v>
      </c>
      <c r="E417">
        <f t="shared" si="36"/>
        <v>67.666666666666472</v>
      </c>
      <c r="F417">
        <f t="shared" si="37"/>
        <v>1.1277777777777744</v>
      </c>
      <c r="G417">
        <f t="shared" si="38"/>
        <v>1073.4784492541439</v>
      </c>
      <c r="H417">
        <f t="shared" si="39"/>
        <v>1023.7117227788697</v>
      </c>
      <c r="I417">
        <f t="shared" si="40"/>
        <v>104.86140046732906</v>
      </c>
      <c r="J417">
        <f t="shared" si="41"/>
        <v>33.555648149545299</v>
      </c>
    </row>
    <row r="418" spans="1:10" x14ac:dyDescent="0.2">
      <c r="A418" s="2"/>
      <c r="B418" s="2">
        <v>0.5</v>
      </c>
      <c r="C418" s="2">
        <v>32</v>
      </c>
      <c r="D418" s="2">
        <v>32</v>
      </c>
      <c r="E418">
        <f t="shared" si="36"/>
        <v>67.83333333333313</v>
      </c>
      <c r="F418">
        <f t="shared" si="37"/>
        <v>1.1305555555555522</v>
      </c>
      <c r="G418">
        <f t="shared" si="38"/>
        <v>1073.9213449406705</v>
      </c>
      <c r="H418">
        <f t="shared" si="39"/>
        <v>1023.7117227788697</v>
      </c>
      <c r="I418">
        <f t="shared" si="40"/>
        <v>104.90466417884778</v>
      </c>
      <c r="J418">
        <f t="shared" si="41"/>
        <v>33.569492537231291</v>
      </c>
    </row>
    <row r="419" spans="1:10" x14ac:dyDescent="0.2">
      <c r="A419" s="2"/>
      <c r="B419" s="2">
        <v>0.5</v>
      </c>
      <c r="C419" s="2">
        <v>32</v>
      </c>
      <c r="D419" s="2">
        <v>32</v>
      </c>
      <c r="E419">
        <f t="shared" si="36"/>
        <v>67.999999999999801</v>
      </c>
      <c r="F419">
        <f t="shared" si="37"/>
        <v>1.13333333333333</v>
      </c>
      <c r="G419">
        <f t="shared" si="38"/>
        <v>1074.3204272182309</v>
      </c>
      <c r="H419">
        <f t="shared" si="39"/>
        <v>1023.7117227788697</v>
      </c>
      <c r="I419">
        <f t="shared" si="40"/>
        <v>104.94364803227842</v>
      </c>
      <c r="J419">
        <f t="shared" si="41"/>
        <v>33.581967370329096</v>
      </c>
    </row>
    <row r="420" spans="1:10" x14ac:dyDescent="0.2">
      <c r="A420" s="2"/>
      <c r="B420" s="2">
        <v>0.5</v>
      </c>
      <c r="C420" s="2">
        <v>32</v>
      </c>
      <c r="D420" s="2">
        <v>32</v>
      </c>
      <c r="E420">
        <f t="shared" si="36"/>
        <v>68.166666666666458</v>
      </c>
      <c r="F420">
        <f t="shared" si="37"/>
        <v>1.1361111111111077</v>
      </c>
      <c r="G420">
        <f t="shared" si="38"/>
        <v>1074.6800303236751</v>
      </c>
      <c r="H420">
        <f t="shared" si="39"/>
        <v>1023.7117227788697</v>
      </c>
      <c r="I420">
        <f t="shared" si="40"/>
        <v>104.97877541212985</v>
      </c>
      <c r="J420">
        <f t="shared" si="41"/>
        <v>33.593208131881553</v>
      </c>
    </row>
    <row r="421" spans="1:10" x14ac:dyDescent="0.2">
      <c r="A421" s="2"/>
      <c r="B421" s="2">
        <v>0.5</v>
      </c>
      <c r="C421" s="2">
        <v>32</v>
      </c>
      <c r="D421" s="2">
        <v>32</v>
      </c>
      <c r="E421">
        <f t="shared" si="36"/>
        <v>68.33333333333313</v>
      </c>
      <c r="F421">
        <f t="shared" si="37"/>
        <v>1.1388888888888855</v>
      </c>
      <c r="G421">
        <f t="shared" si="38"/>
        <v>1075.004059729931</v>
      </c>
      <c r="H421">
        <f t="shared" si="39"/>
        <v>1023.7117227788697</v>
      </c>
      <c r="I421">
        <f t="shared" si="40"/>
        <v>105.01042781964323</v>
      </c>
      <c r="J421">
        <f t="shared" si="41"/>
        <v>33.603336902285832</v>
      </c>
    </row>
    <row r="422" spans="1:10" x14ac:dyDescent="0.2">
      <c r="A422" s="2"/>
      <c r="B422" s="2">
        <v>0.5</v>
      </c>
      <c r="C422" s="2">
        <v>32</v>
      </c>
      <c r="D422" s="2">
        <v>32</v>
      </c>
      <c r="E422">
        <f t="shared" si="36"/>
        <v>68.499999999999801</v>
      </c>
      <c r="F422">
        <f t="shared" si="37"/>
        <v>1.1416666666666633</v>
      </c>
      <c r="G422">
        <f t="shared" si="38"/>
        <v>1075.2960345614297</v>
      </c>
      <c r="H422">
        <f t="shared" si="39"/>
        <v>1023.7117227788697</v>
      </c>
      <c r="I422">
        <f t="shared" si="40"/>
        <v>105.03894901608963</v>
      </c>
      <c r="J422">
        <f t="shared" si="41"/>
        <v>33.612463685148683</v>
      </c>
    </row>
    <row r="423" spans="1:10" x14ac:dyDescent="0.2">
      <c r="A423" s="2"/>
      <c r="B423" s="2">
        <v>0.5</v>
      </c>
      <c r="C423" s="2">
        <v>32</v>
      </c>
      <c r="D423" s="2">
        <v>32</v>
      </c>
      <c r="E423">
        <f t="shared" si="36"/>
        <v>68.666666666666458</v>
      </c>
      <c r="F423">
        <f t="shared" si="37"/>
        <v>1.144444444444441</v>
      </c>
      <c r="G423">
        <f t="shared" si="38"/>
        <v>1075.5591258135903</v>
      </c>
      <c r="H423">
        <f t="shared" si="39"/>
        <v>1023.7117227788697</v>
      </c>
      <c r="I423">
        <f t="shared" si="40"/>
        <v>105.06464875619288</v>
      </c>
      <c r="J423">
        <f t="shared" si="41"/>
        <v>33.620687601981722</v>
      </c>
    </row>
    <row r="424" spans="1:10" x14ac:dyDescent="0.2">
      <c r="A424" s="2"/>
      <c r="B424" s="2">
        <v>0.5</v>
      </c>
      <c r="C424" s="2">
        <v>32</v>
      </c>
      <c r="D424" s="2">
        <v>32</v>
      </c>
      <c r="E424">
        <f t="shared" si="36"/>
        <v>68.83333333333313</v>
      </c>
      <c r="F424">
        <f t="shared" si="37"/>
        <v>1.1472222222222188</v>
      </c>
      <c r="G424">
        <f t="shared" si="38"/>
        <v>1075.7961907914453</v>
      </c>
      <c r="H424">
        <f t="shared" si="39"/>
        <v>1023.7117227788697</v>
      </c>
      <c r="I424">
        <f t="shared" si="40"/>
        <v>105.08780615222342</v>
      </c>
      <c r="J424">
        <f t="shared" si="41"/>
        <v>33.628097968711494</v>
      </c>
    </row>
    <row r="425" spans="1:10" x14ac:dyDescent="0.2">
      <c r="A425" s="2"/>
      <c r="B425" s="2">
        <v>0.5</v>
      </c>
      <c r="C425" s="2">
        <v>32</v>
      </c>
      <c r="D425" s="2">
        <v>32</v>
      </c>
      <c r="E425">
        <f t="shared" si="36"/>
        <v>68.999999999999801</v>
      </c>
      <c r="F425">
        <f t="shared" si="37"/>
        <v>1.1499999999999966</v>
      </c>
      <c r="G425">
        <f t="shared" si="38"/>
        <v>1076.009804141429</v>
      </c>
      <c r="H425">
        <f t="shared" si="39"/>
        <v>1023.7117227788697</v>
      </c>
      <c r="I425">
        <f t="shared" si="40"/>
        <v>105.10867270529988</v>
      </c>
      <c r="J425">
        <f t="shared" si="41"/>
        <v>33.634775265695964</v>
      </c>
    </row>
    <row r="426" spans="1:10" x14ac:dyDescent="0.2">
      <c r="A426" s="2"/>
      <c r="B426" s="2">
        <v>0.5</v>
      </c>
      <c r="C426" s="2">
        <v>32</v>
      </c>
      <c r="D426" s="2">
        <v>32</v>
      </c>
      <c r="E426">
        <f t="shared" si="36"/>
        <v>69.166666666666458</v>
      </c>
      <c r="F426">
        <f t="shared" si="37"/>
        <v>1.1527777777777743</v>
      </c>
      <c r="G426">
        <f t="shared" si="38"/>
        <v>1076.2022858133489</v>
      </c>
      <c r="H426">
        <f t="shared" si="39"/>
        <v>1023.7117227788697</v>
      </c>
      <c r="I426">
        <f t="shared" si="40"/>
        <v>105.12747503681929</v>
      </c>
      <c r="J426">
        <f t="shared" si="41"/>
        <v>33.640792011782175</v>
      </c>
    </row>
    <row r="427" spans="1:10" x14ac:dyDescent="0.2">
      <c r="A427" s="2"/>
      <c r="B427" s="2">
        <v>0.5</v>
      </c>
      <c r="C427" s="2">
        <v>32</v>
      </c>
      <c r="D427" s="2">
        <v>32</v>
      </c>
      <c r="E427">
        <f t="shared" si="36"/>
        <v>69.33333333333313</v>
      </c>
      <c r="F427">
        <f t="shared" si="37"/>
        <v>1.1555555555555521</v>
      </c>
      <c r="G427">
        <f t="shared" si="38"/>
        <v>1076.3757262562235</v>
      </c>
      <c r="H427">
        <f t="shared" si="39"/>
        <v>1023.7117227788697</v>
      </c>
      <c r="I427">
        <f t="shared" si="40"/>
        <v>105.14441734968094</v>
      </c>
      <c r="J427">
        <f t="shared" si="41"/>
        <v>33.646213551897901</v>
      </c>
    </row>
    <row r="428" spans="1:10" x14ac:dyDescent="0.2">
      <c r="A428" s="2"/>
      <c r="B428" s="2">
        <v>0.5</v>
      </c>
      <c r="C428" s="2">
        <v>32</v>
      </c>
      <c r="D428" s="2">
        <v>32</v>
      </c>
      <c r="E428">
        <f t="shared" si="36"/>
        <v>69.499999999999787</v>
      </c>
      <c r="F428">
        <f t="shared" si="37"/>
        <v>1.1583333333333299</v>
      </c>
      <c r="G428">
        <f t="shared" si="38"/>
        <v>1076.5320091216231</v>
      </c>
      <c r="H428">
        <f t="shared" si="39"/>
        <v>1023.7117227788697</v>
      </c>
      <c r="I428">
        <f t="shared" si="40"/>
        <v>105.15968364603393</v>
      </c>
      <c r="J428">
        <f t="shared" si="41"/>
        <v>33.651098766730854</v>
      </c>
    </row>
    <row r="429" spans="1:10" x14ac:dyDescent="0.2">
      <c r="A429" s="2"/>
      <c r="B429" s="2">
        <v>0.5</v>
      </c>
      <c r="C429" s="2">
        <v>32</v>
      </c>
      <c r="D429" s="2">
        <v>32</v>
      </c>
      <c r="E429">
        <f t="shared" si="36"/>
        <v>69.666666666666458</v>
      </c>
      <c r="F429">
        <f t="shared" si="37"/>
        <v>1.1611111111111077</v>
      </c>
      <c r="G429">
        <f t="shared" si="38"/>
        <v>1076.6728317210855</v>
      </c>
      <c r="H429">
        <f t="shared" si="39"/>
        <v>1023.7117227788697</v>
      </c>
      <c r="I429">
        <f t="shared" si="40"/>
        <v>105.17343972563415</v>
      </c>
      <c r="J429">
        <f t="shared" si="41"/>
        <v>33.655500712202929</v>
      </c>
    </row>
    <row r="430" spans="1:10" x14ac:dyDescent="0.2">
      <c r="A430" s="2"/>
      <c r="B430" s="2">
        <v>0.5</v>
      </c>
      <c r="C430" s="2">
        <v>32</v>
      </c>
      <c r="D430" s="2">
        <v>32</v>
      </c>
      <c r="E430">
        <f t="shared" si="36"/>
        <v>69.83333333333313</v>
      </c>
      <c r="F430">
        <f t="shared" si="37"/>
        <v>1.1638888888888854</v>
      </c>
      <c r="G430">
        <f t="shared" si="38"/>
        <v>1076.799723459784</v>
      </c>
      <c r="H430">
        <f t="shared" si="39"/>
        <v>1023.7117227788697</v>
      </c>
      <c r="I430">
        <f t="shared" si="40"/>
        <v>105.18583498651424</v>
      </c>
      <c r="J430">
        <f t="shared" si="41"/>
        <v>33.659467195684556</v>
      </c>
    </row>
    <row r="431" spans="1:10" x14ac:dyDescent="0.2">
      <c r="A431" s="2"/>
      <c r="B431" s="2">
        <v>0.5</v>
      </c>
      <c r="C431" s="2">
        <v>32</v>
      </c>
      <c r="D431" s="2">
        <v>32</v>
      </c>
      <c r="E431">
        <f t="shared" si="36"/>
        <v>69.999999999999787</v>
      </c>
      <c r="F431">
        <f t="shared" si="37"/>
        <v>1.1666666666666632</v>
      </c>
      <c r="G431">
        <f t="shared" si="38"/>
        <v>1076.914062446647</v>
      </c>
      <c r="H431">
        <f t="shared" si="39"/>
        <v>1023.7117227788697</v>
      </c>
      <c r="I431">
        <f t="shared" si="40"/>
        <v>105.19700404752221</v>
      </c>
      <c r="J431">
        <f t="shared" si="41"/>
        <v>33.663041295207108</v>
      </c>
    </row>
    <row r="432" spans="1:10" x14ac:dyDescent="0.2">
      <c r="A432" s="2"/>
      <c r="B432" s="2">
        <v>0.5</v>
      </c>
      <c r="C432" s="2">
        <v>16</v>
      </c>
      <c r="D432" s="2">
        <v>16</v>
      </c>
      <c r="E432">
        <f t="shared" si="36"/>
        <v>70.166666666666458</v>
      </c>
      <c r="F432">
        <f t="shared" si="37"/>
        <v>1.169444444444441</v>
      </c>
      <c r="G432">
        <f t="shared" si="38"/>
        <v>1023.6987715665897</v>
      </c>
      <c r="H432">
        <f t="shared" si="39"/>
        <v>511.85586138943484</v>
      </c>
      <c r="I432">
        <f t="shared" si="40"/>
        <v>199.99746975403491</v>
      </c>
      <c r="J432">
        <f t="shared" si="41"/>
        <v>31.999595160645587</v>
      </c>
    </row>
    <row r="433" spans="1:10" x14ac:dyDescent="0.2">
      <c r="A433" s="2"/>
      <c r="B433" s="2">
        <v>0.5</v>
      </c>
      <c r="C433" s="2">
        <v>16</v>
      </c>
      <c r="D433" s="2">
        <v>16</v>
      </c>
      <c r="E433">
        <f t="shared" si="36"/>
        <v>70.33333333333313</v>
      </c>
      <c r="F433">
        <f t="shared" ref="F433:F496" si="42">Tsamp+F432</f>
        <v>1.1722222222222187</v>
      </c>
      <c r="G433">
        <f t="shared" si="38"/>
        <v>975.74779771085286</v>
      </c>
      <c r="H433">
        <f t="shared" si="39"/>
        <v>511.85586138943484</v>
      </c>
      <c r="I433">
        <f t="shared" si="40"/>
        <v>190.62940786927427</v>
      </c>
      <c r="J433">
        <f t="shared" si="41"/>
        <v>30.500705259083883</v>
      </c>
    </row>
    <row r="434" spans="1:10" x14ac:dyDescent="0.2">
      <c r="A434" s="2"/>
      <c r="B434" s="2">
        <v>0.5</v>
      </c>
      <c r="C434" s="2">
        <v>16</v>
      </c>
      <c r="D434" s="2">
        <v>16</v>
      </c>
      <c r="E434">
        <f t="shared" si="36"/>
        <v>70.499999999999787</v>
      </c>
      <c r="F434">
        <f t="shared" si="42"/>
        <v>1.1749999999999965</v>
      </c>
      <c r="G434">
        <f t="shared" si="38"/>
        <v>932.54036887435598</v>
      </c>
      <c r="H434">
        <f t="shared" si="39"/>
        <v>511.85586138943484</v>
      </c>
      <c r="I434">
        <f t="shared" si="40"/>
        <v>182.18808051605998</v>
      </c>
      <c r="J434">
        <f t="shared" si="41"/>
        <v>29.150092882569599</v>
      </c>
    </row>
    <row r="435" spans="1:10" x14ac:dyDescent="0.2">
      <c r="A435" s="2"/>
      <c r="B435" s="2"/>
      <c r="C435" s="2">
        <v>16</v>
      </c>
      <c r="D435" s="2">
        <v>16</v>
      </c>
      <c r="E435">
        <f t="shared" si="36"/>
        <v>70.666666666666458</v>
      </c>
      <c r="F435">
        <f t="shared" si="42"/>
        <v>1.1777777777777743</v>
      </c>
      <c r="G435">
        <f t="shared" si="38"/>
        <v>893.6072303675644</v>
      </c>
      <c r="H435">
        <f t="shared" si="39"/>
        <v>511.85586138943484</v>
      </c>
      <c r="I435">
        <f t="shared" si="40"/>
        <v>174.58181057883442</v>
      </c>
      <c r="J435">
        <f t="shared" si="41"/>
        <v>27.933089692613507</v>
      </c>
    </row>
    <row r="436" spans="1:10" x14ac:dyDescent="0.2">
      <c r="A436" s="2"/>
      <c r="B436" s="2"/>
      <c r="C436" s="2">
        <v>16</v>
      </c>
      <c r="D436" s="2">
        <v>16</v>
      </c>
      <c r="E436">
        <f t="shared" si="36"/>
        <v>70.833333333333115</v>
      </c>
      <c r="F436">
        <f t="shared" si="42"/>
        <v>1.180555555555552</v>
      </c>
      <c r="G436">
        <f t="shared" si="38"/>
        <v>858.52554847149554</v>
      </c>
      <c r="H436">
        <f t="shared" si="39"/>
        <v>511.85586138943484</v>
      </c>
      <c r="I436">
        <f t="shared" si="40"/>
        <v>167.72799009100422</v>
      </c>
      <c r="J436">
        <f t="shared" si="41"/>
        <v>26.836478414560673</v>
      </c>
    </row>
    <row r="437" spans="1:10" x14ac:dyDescent="0.2">
      <c r="A437" s="2"/>
      <c r="B437" s="2"/>
      <c r="C437" s="2">
        <v>16</v>
      </c>
      <c r="D437" s="2">
        <v>16</v>
      </c>
      <c r="E437">
        <f t="shared" si="36"/>
        <v>70.999999999999787</v>
      </c>
      <c r="F437">
        <f t="shared" si="42"/>
        <v>1.1833333333333298</v>
      </c>
      <c r="G437">
        <f t="shared" si="38"/>
        <v>826.91431824811457</v>
      </c>
      <c r="H437">
        <f t="shared" si="39"/>
        <v>511.85586138943484</v>
      </c>
      <c r="I437">
        <f t="shared" si="40"/>
        <v>161.55218307033786</v>
      </c>
      <c r="J437">
        <f t="shared" si="41"/>
        <v>25.848349291254056</v>
      </c>
    </row>
    <row r="438" spans="1:10" x14ac:dyDescent="0.2">
      <c r="A438" s="2"/>
      <c r="B438" s="2"/>
      <c r="C438" s="2">
        <v>16</v>
      </c>
      <c r="D438" s="2">
        <v>16</v>
      </c>
      <c r="E438">
        <f t="shared" si="36"/>
        <v>71.166666666666458</v>
      </c>
      <c r="F438">
        <f t="shared" si="42"/>
        <v>1.1861111111111076</v>
      </c>
      <c r="G438">
        <f t="shared" si="38"/>
        <v>798.43022563260149</v>
      </c>
      <c r="H438">
        <f t="shared" si="39"/>
        <v>511.85586138943484</v>
      </c>
      <c r="I438">
        <f t="shared" si="40"/>
        <v>155.98731710627663</v>
      </c>
      <c r="J438">
        <f t="shared" si="41"/>
        <v>24.95797073700426</v>
      </c>
    </row>
    <row r="439" spans="1:10" x14ac:dyDescent="0.2">
      <c r="A439" s="2"/>
      <c r="B439" s="2"/>
      <c r="C439" s="2">
        <v>16</v>
      </c>
      <c r="D439" s="2">
        <v>16</v>
      </c>
      <c r="E439">
        <f t="shared" si="36"/>
        <v>71.333333333333115</v>
      </c>
      <c r="F439">
        <f t="shared" si="42"/>
        <v>1.1888888888888853</v>
      </c>
      <c r="G439">
        <f t="shared" si="38"/>
        <v>772.76391886770307</v>
      </c>
      <c r="H439">
        <f t="shared" si="39"/>
        <v>511.85586138943484</v>
      </c>
      <c r="I439">
        <f t="shared" si="40"/>
        <v>150.97295491938536</v>
      </c>
      <c r="J439">
        <f t="shared" si="41"/>
        <v>24.155672787101658</v>
      </c>
    </row>
    <row r="440" spans="1:10" x14ac:dyDescent="0.2">
      <c r="A440" s="2"/>
      <c r="B440" s="2"/>
      <c r="C440" s="2">
        <v>16</v>
      </c>
      <c r="D440" s="2">
        <v>16</v>
      </c>
      <c r="E440">
        <f t="shared" si="36"/>
        <v>71.499999999999787</v>
      </c>
      <c r="F440">
        <f t="shared" si="42"/>
        <v>1.1916666666666631</v>
      </c>
      <c r="G440">
        <f t="shared" si="38"/>
        <v>749.63664878604709</v>
      </c>
      <c r="H440">
        <f t="shared" si="39"/>
        <v>511.85586138943484</v>
      </c>
      <c r="I440">
        <f t="shared" si="40"/>
        <v>146.45463798170746</v>
      </c>
      <c r="J440">
        <f t="shared" si="41"/>
        <v>23.432742077073193</v>
      </c>
    </row>
    <row r="441" spans="1:10" x14ac:dyDescent="0.2">
      <c r="A441" s="2"/>
      <c r="B441" s="2"/>
      <c r="C441" s="2">
        <v>16</v>
      </c>
      <c r="D441" s="2">
        <v>16</v>
      </c>
      <c r="E441">
        <f t="shared" si="36"/>
        <v>71.666666666666458</v>
      </c>
      <c r="F441">
        <f t="shared" si="42"/>
        <v>1.1944444444444409</v>
      </c>
      <c r="G441">
        <f t="shared" si="38"/>
        <v>728.79724145217415</v>
      </c>
      <c r="H441">
        <f t="shared" si="39"/>
        <v>511.85586138943484</v>
      </c>
      <c r="I441">
        <f t="shared" si="40"/>
        <v>142.38329506940707</v>
      </c>
      <c r="J441">
        <f t="shared" si="41"/>
        <v>22.781327211105133</v>
      </c>
    </row>
    <row r="442" spans="1:10" x14ac:dyDescent="0.2">
      <c r="A442" s="2"/>
      <c r="B442" s="2"/>
      <c r="C442" s="2">
        <v>16</v>
      </c>
      <c r="D442" s="2">
        <v>16</v>
      </c>
      <c r="E442">
        <f t="shared" si="36"/>
        <v>71.833333333333115</v>
      </c>
      <c r="F442">
        <f t="shared" si="42"/>
        <v>1.1972222222222186</v>
      </c>
      <c r="G442">
        <f t="shared" si="38"/>
        <v>710.01937028563555</v>
      </c>
      <c r="H442">
        <f t="shared" si="39"/>
        <v>511.85586138943484</v>
      </c>
      <c r="I442">
        <f t="shared" si="40"/>
        <v>138.71470932427835</v>
      </c>
      <c r="J442">
        <f t="shared" si="41"/>
        <v>22.194353491884534</v>
      </c>
    </row>
    <row r="443" spans="1:10" x14ac:dyDescent="0.2">
      <c r="A443" s="2"/>
      <c r="B443" s="2"/>
      <c r="C443" s="2">
        <v>16</v>
      </c>
      <c r="D443" s="2">
        <v>16</v>
      </c>
      <c r="E443">
        <f t="shared" si="36"/>
        <v>71.999999999999787</v>
      </c>
      <c r="F443">
        <f t="shared" si="42"/>
        <v>1.1999999999999964</v>
      </c>
      <c r="G443">
        <f t="shared" si="38"/>
        <v>693.09909803902599</v>
      </c>
      <c r="H443">
        <f t="shared" si="39"/>
        <v>511.85586138943484</v>
      </c>
      <c r="I443">
        <f t="shared" si="40"/>
        <v>135.40903803613887</v>
      </c>
      <c r="J443">
        <f t="shared" si="41"/>
        <v>21.665446085782218</v>
      </c>
    </row>
    <row r="444" spans="1:10" x14ac:dyDescent="0.2">
      <c r="A444" s="2"/>
      <c r="B444" s="2"/>
      <c r="C444" s="2">
        <v>16</v>
      </c>
      <c r="D444" s="2">
        <v>16</v>
      </c>
      <c r="E444">
        <f t="shared" si="36"/>
        <v>72.166666666666444</v>
      </c>
      <c r="F444">
        <f t="shared" si="42"/>
        <v>1.2027777777777742</v>
      </c>
      <c r="G444">
        <f t="shared" si="38"/>
        <v>677.85266193557925</v>
      </c>
      <c r="H444">
        <f t="shared" si="39"/>
        <v>511.85586138943484</v>
      </c>
      <c r="I444">
        <f t="shared" si="40"/>
        <v>132.43037993069873</v>
      </c>
      <c r="J444">
        <f t="shared" si="41"/>
        <v>21.188860788911796</v>
      </c>
    </row>
    <row r="445" spans="1:10" x14ac:dyDescent="0.2">
      <c r="A445" s="2"/>
      <c r="B445" s="2"/>
      <c r="C445" s="2">
        <v>16</v>
      </c>
      <c r="D445" s="2">
        <v>16</v>
      </c>
      <c r="E445">
        <f t="shared" si="36"/>
        <v>72.333333333333115</v>
      </c>
      <c r="F445">
        <f t="shared" si="42"/>
        <v>1.2055555555555519</v>
      </c>
      <c r="G445">
        <f t="shared" si="38"/>
        <v>664.11447791179307</v>
      </c>
      <c r="H445">
        <f t="shared" si="39"/>
        <v>511.85586138943484</v>
      </c>
      <c r="I445">
        <f t="shared" si="40"/>
        <v>129.7463852634317</v>
      </c>
      <c r="J445">
        <f t="shared" si="41"/>
        <v>20.759421642149071</v>
      </c>
    </row>
    <row r="446" spans="1:10" x14ac:dyDescent="0.2">
      <c r="A446" s="2"/>
      <c r="B446" s="2"/>
      <c r="C446" s="2">
        <v>16</v>
      </c>
      <c r="D446" s="2">
        <v>16</v>
      </c>
      <c r="E446">
        <f t="shared" si="36"/>
        <v>72.499999999999787</v>
      </c>
      <c r="F446">
        <f t="shared" si="42"/>
        <v>1.2083333333333297</v>
      </c>
      <c r="G446">
        <f t="shared" si="38"/>
        <v>651.73534229014138</v>
      </c>
      <c r="H446">
        <f t="shared" si="39"/>
        <v>511.85586138943484</v>
      </c>
      <c r="I446">
        <f t="shared" si="40"/>
        <v>127.32790448486868</v>
      </c>
      <c r="J446">
        <f t="shared" si="41"/>
        <v>20.372464717578989</v>
      </c>
    </row>
    <row r="447" spans="1:10" x14ac:dyDescent="0.2">
      <c r="A447" s="2"/>
      <c r="B447" s="2"/>
      <c r="C447" s="2">
        <v>16</v>
      </c>
      <c r="D447" s="2">
        <v>16</v>
      </c>
      <c r="E447">
        <f t="shared" si="36"/>
        <v>72.666666666666444</v>
      </c>
      <c r="F447">
        <f t="shared" si="42"/>
        <v>1.2111111111111075</v>
      </c>
      <c r="G447">
        <f t="shared" si="38"/>
        <v>640.58081135112343</v>
      </c>
      <c r="H447">
        <f t="shared" si="39"/>
        <v>511.85586138943484</v>
      </c>
      <c r="I447">
        <f t="shared" si="40"/>
        <v>125.14867166164009</v>
      </c>
      <c r="J447">
        <f t="shared" si="41"/>
        <v>20.023787465862416</v>
      </c>
    </row>
    <row r="448" spans="1:10" x14ac:dyDescent="0.2">
      <c r="A448" s="2"/>
      <c r="B448" s="2"/>
      <c r="C448" s="2">
        <v>16</v>
      </c>
      <c r="D448" s="2">
        <v>16</v>
      </c>
      <c r="E448">
        <f t="shared" si="36"/>
        <v>72.833333333333115</v>
      </c>
      <c r="F448">
        <f t="shared" si="42"/>
        <v>1.2138888888888852</v>
      </c>
      <c r="G448">
        <f t="shared" si="38"/>
        <v>630.52974120597639</v>
      </c>
      <c r="H448">
        <f t="shared" si="39"/>
        <v>511.85586138943484</v>
      </c>
      <c r="I448">
        <f t="shared" si="40"/>
        <v>123.18501921505809</v>
      </c>
      <c r="J448">
        <f t="shared" si="41"/>
        <v>19.709603074409294</v>
      </c>
    </row>
    <row r="449" spans="1:10" x14ac:dyDescent="0.2">
      <c r="A449" s="2"/>
      <c r="B449" s="2"/>
      <c r="C449" s="2">
        <v>16</v>
      </c>
      <c r="D449" s="2">
        <v>16</v>
      </c>
      <c r="E449">
        <f t="shared" si="36"/>
        <v>72.999999999999787</v>
      </c>
      <c r="F449">
        <f t="shared" si="42"/>
        <v>1.216666666666663</v>
      </c>
      <c r="G449">
        <f t="shared" si="38"/>
        <v>621.47297211232592</v>
      </c>
      <c r="H449">
        <f t="shared" si="39"/>
        <v>511.85586138943484</v>
      </c>
      <c r="I449">
        <f t="shared" si="40"/>
        <v>121.41562087915435</v>
      </c>
      <c r="J449">
        <f t="shared" si="41"/>
        <v>19.426499340664694</v>
      </c>
    </row>
    <row r="450" spans="1:10" x14ac:dyDescent="0.2">
      <c r="A450" s="2"/>
      <c r="B450" s="2"/>
      <c r="C450" s="2">
        <v>16</v>
      </c>
      <c r="D450" s="2">
        <v>16</v>
      </c>
      <c r="E450">
        <f t="shared" si="36"/>
        <v>73.166666666666444</v>
      </c>
      <c r="F450">
        <f t="shared" si="42"/>
        <v>1.2194444444444408</v>
      </c>
      <c r="G450">
        <f t="shared" si="38"/>
        <v>613.31214294377151</v>
      </c>
      <c r="H450">
        <f t="shared" si="39"/>
        <v>511.85586138943484</v>
      </c>
      <c r="I450">
        <f t="shared" si="40"/>
        <v>119.8212600865668</v>
      </c>
      <c r="J450">
        <f t="shared" si="41"/>
        <v>19.171401613850687</v>
      </c>
    </row>
    <row r="451" spans="1:10" x14ac:dyDescent="0.2">
      <c r="A451" s="2"/>
      <c r="B451" s="2"/>
      <c r="C451" s="2">
        <v>16</v>
      </c>
      <c r="D451" s="2">
        <v>16</v>
      </c>
      <c r="E451">
        <f t="shared" si="36"/>
        <v>73.333333333333115</v>
      </c>
      <c r="F451">
        <f t="shared" si="42"/>
        <v>1.2222222222222185</v>
      </c>
      <c r="G451">
        <f t="shared" si="38"/>
        <v>605.95862293794301</v>
      </c>
      <c r="H451">
        <f t="shared" si="39"/>
        <v>511.85586138943484</v>
      </c>
      <c r="I451">
        <f t="shared" si="40"/>
        <v>118.38462126682809</v>
      </c>
      <c r="J451">
        <f t="shared" si="41"/>
        <v>18.941539402692495</v>
      </c>
    </row>
    <row r="452" spans="1:10" x14ac:dyDescent="0.2">
      <c r="A452" s="2"/>
      <c r="B452" s="2"/>
      <c r="C452" s="2">
        <v>16</v>
      </c>
      <c r="D452" s="2">
        <v>16</v>
      </c>
      <c r="E452">
        <f t="shared" si="36"/>
        <v>73.499999999999773</v>
      </c>
      <c r="F452">
        <f t="shared" si="42"/>
        <v>1.2249999999999963</v>
      </c>
      <c r="G452">
        <f t="shared" si="38"/>
        <v>599.33254912126745</v>
      </c>
      <c r="H452">
        <f t="shared" si="39"/>
        <v>511.85586138943484</v>
      </c>
      <c r="I452">
        <f t="shared" si="40"/>
        <v>117.09010179044874</v>
      </c>
      <c r="J452">
        <f t="shared" si="41"/>
        <v>18.734416286471799</v>
      </c>
    </row>
    <row r="453" spans="1:10" x14ac:dyDescent="0.2">
      <c r="A453" s="2"/>
      <c r="B453" s="2"/>
      <c r="C453" s="2">
        <v>16</v>
      </c>
      <c r="D453" s="2">
        <v>16</v>
      </c>
      <c r="E453">
        <f t="shared" si="36"/>
        <v>73.666666666666444</v>
      </c>
      <c r="F453">
        <f t="shared" si="42"/>
        <v>1.2277777777777741</v>
      </c>
      <c r="G453">
        <f t="shared" si="38"/>
        <v>593.36195895638946</v>
      </c>
      <c r="H453">
        <f t="shared" si="39"/>
        <v>511.85586138943484</v>
      </c>
      <c r="I453">
        <f t="shared" si="40"/>
        <v>115.92364251641195</v>
      </c>
      <c r="J453">
        <f t="shared" si="41"/>
        <v>18.54778280262591</v>
      </c>
    </row>
    <row r="454" spans="1:10" x14ac:dyDescent="0.2">
      <c r="A454" s="2"/>
      <c r="B454" s="2"/>
      <c r="C454" s="2">
        <v>16</v>
      </c>
      <c r="D454" s="2">
        <v>16</v>
      </c>
      <c r="E454">
        <f t="shared" si="36"/>
        <v>73.833333333333115</v>
      </c>
      <c r="F454">
        <f t="shared" si="42"/>
        <v>1.2305555555555518</v>
      </c>
      <c r="G454">
        <f t="shared" si="38"/>
        <v>587.98200879235344</v>
      </c>
      <c r="H454">
        <f t="shared" si="39"/>
        <v>511.85586138943484</v>
      </c>
      <c r="I454">
        <f t="shared" si="40"/>
        <v>114.87257510273965</v>
      </c>
      <c r="J454">
        <f t="shared" si="41"/>
        <v>18.379612016438344</v>
      </c>
    </row>
    <row r="455" spans="1:10" x14ac:dyDescent="0.2">
      <c r="A455" s="2"/>
      <c r="B455" s="2"/>
      <c r="C455" s="2">
        <v>16</v>
      </c>
      <c r="D455" s="2">
        <v>16</v>
      </c>
      <c r="E455">
        <f t="shared" si="36"/>
        <v>73.999999999999773</v>
      </c>
      <c r="F455">
        <f t="shared" si="42"/>
        <v>1.2333333333333296</v>
      </c>
      <c r="G455">
        <f t="shared" si="38"/>
        <v>583.13426962951951</v>
      </c>
      <c r="H455">
        <f t="shared" si="39"/>
        <v>511.85586138943484</v>
      </c>
      <c r="I455">
        <f t="shared" si="40"/>
        <v>113.92548442184469</v>
      </c>
      <c r="J455">
        <f t="shared" si="41"/>
        <v>18.228077507495151</v>
      </c>
    </row>
    <row r="456" spans="1:10" x14ac:dyDescent="0.2">
      <c r="A456" s="2"/>
      <c r="B456" s="2"/>
      <c r="C456" s="2">
        <v>16</v>
      </c>
      <c r="D456" s="2">
        <v>16</v>
      </c>
      <c r="E456">
        <f t="shared" si="36"/>
        <v>74.166666666666444</v>
      </c>
      <c r="F456">
        <f t="shared" si="42"/>
        <v>1.2361111111111074</v>
      </c>
      <c r="G456">
        <f t="shared" si="38"/>
        <v>578.76609255085964</v>
      </c>
      <c r="H456">
        <f t="shared" si="39"/>
        <v>511.85586138943484</v>
      </c>
      <c r="I456">
        <f t="shared" si="40"/>
        <v>113.07208458642961</v>
      </c>
      <c r="J456">
        <f t="shared" si="41"/>
        <v>18.091533533828738</v>
      </c>
    </row>
    <row r="457" spans="1:10" x14ac:dyDescent="0.2">
      <c r="A457" s="2"/>
      <c r="B457" s="2"/>
      <c r="C457" s="2">
        <v>16</v>
      </c>
      <c r="D457" s="2">
        <v>16</v>
      </c>
      <c r="E457">
        <f t="shared" si="36"/>
        <v>74.333333333333115</v>
      </c>
      <c r="F457">
        <f t="shared" si="42"/>
        <v>1.2388888888888852</v>
      </c>
      <c r="G457">
        <f t="shared" si="38"/>
        <v>574.83003692789691</v>
      </c>
      <c r="H457">
        <f t="shared" si="39"/>
        <v>511.85586138943484</v>
      </c>
      <c r="I457">
        <f t="shared" si="40"/>
        <v>112.30310723951045</v>
      </c>
      <c r="J457">
        <f t="shared" si="41"/>
        <v>17.968497158321671</v>
      </c>
    </row>
    <row r="458" spans="1:10" x14ac:dyDescent="0.2">
      <c r="A458" s="2"/>
      <c r="B458" s="2"/>
      <c r="C458" s="2">
        <v>16</v>
      </c>
      <c r="D458" s="2">
        <v>16</v>
      </c>
      <c r="E458">
        <f t="shared" si="36"/>
        <v>74.499999999999773</v>
      </c>
      <c r="F458">
        <f t="shared" si="42"/>
        <v>1.2416666666666629</v>
      </c>
      <c r="G458">
        <f t="shared" si="38"/>
        <v>571.28335519131087</v>
      </c>
      <c r="H458">
        <f t="shared" si="39"/>
        <v>511.85586138943484</v>
      </c>
      <c r="I458">
        <f t="shared" si="40"/>
        <v>111.61020089533797</v>
      </c>
      <c r="J458">
        <f t="shared" si="41"/>
        <v>17.857632143254076</v>
      </c>
    </row>
    <row r="459" spans="1:10" x14ac:dyDescent="0.2">
      <c r="A459" s="2"/>
      <c r="B459" s="2"/>
      <c r="C459" s="2">
        <v>16</v>
      </c>
      <c r="D459" s="2">
        <v>16</v>
      </c>
      <c r="E459">
        <f t="shared" si="36"/>
        <v>74.666666666666444</v>
      </c>
      <c r="F459">
        <f t="shared" si="42"/>
        <v>1.2444444444444407</v>
      </c>
      <c r="G459">
        <f t="shared" si="38"/>
        <v>568.08752857055686</v>
      </c>
      <c r="H459">
        <f t="shared" si="39"/>
        <v>511.85586138943484</v>
      </c>
      <c r="I459">
        <f t="shared" si="40"/>
        <v>110.98584023800781</v>
      </c>
      <c r="J459">
        <f t="shared" si="41"/>
        <v>17.757734438081251</v>
      </c>
    </row>
    <row r="460" spans="1:10" x14ac:dyDescent="0.2">
      <c r="A460" s="2"/>
      <c r="B460" s="2"/>
      <c r="C460" s="2">
        <v>16</v>
      </c>
      <c r="D460" s="2">
        <v>16</v>
      </c>
      <c r="E460">
        <f t="shared" ref="E460:E523" si="43">F460*60</f>
        <v>74.833333333333101</v>
      </c>
      <c r="F460">
        <f t="shared" si="42"/>
        <v>1.2472222222222185</v>
      </c>
      <c r="G460">
        <f t="shared" ref="G460:G523" si="44">Tsamp*$D460*G$3/G$5+G$8*G459</f>
        <v>565.20784876039397</v>
      </c>
      <c r="H460">
        <f t="shared" ref="H460:H523" si="45">$D460*$G$3/$G$6</f>
        <v>511.85586138943484</v>
      </c>
      <c r="I460">
        <f t="shared" ref="I460:I523" si="46">G460/H460*100</f>
        <v>110.42324439269582</v>
      </c>
      <c r="J460">
        <f t="shared" si="41"/>
        <v>17.667719102831331</v>
      </c>
    </row>
    <row r="461" spans="1:10" x14ac:dyDescent="0.2">
      <c r="A461" s="2"/>
      <c r="B461" s="2"/>
      <c r="C461" s="2">
        <v>16</v>
      </c>
      <c r="D461" s="2">
        <v>16</v>
      </c>
      <c r="E461">
        <f t="shared" si="43"/>
        <v>74.999999999999773</v>
      </c>
      <c r="F461">
        <f t="shared" si="42"/>
        <v>1.2499999999999962</v>
      </c>
      <c r="G461">
        <f t="shared" si="44"/>
        <v>562.61304097100799</v>
      </c>
      <c r="H461">
        <f t="shared" si="45"/>
        <v>511.85586138943484</v>
      </c>
      <c r="I461">
        <f t="shared" si="46"/>
        <v>109.91630328190296</v>
      </c>
      <c r="J461">
        <f t="shared" ref="J461:J524" si="47">($I461/100)*$D461</f>
        <v>17.586608525104474</v>
      </c>
    </row>
    <row r="462" spans="1:10" x14ac:dyDescent="0.2">
      <c r="A462" s="2"/>
      <c r="B462" s="2"/>
      <c r="C462" s="2">
        <v>16</v>
      </c>
      <c r="D462" s="2">
        <v>16</v>
      </c>
      <c r="E462">
        <f t="shared" si="43"/>
        <v>75.166666666666444</v>
      </c>
      <c r="F462">
        <f t="shared" si="42"/>
        <v>1.252777777777774</v>
      </c>
      <c r="G462">
        <f t="shared" si="44"/>
        <v>560.27492426786057</v>
      </c>
      <c r="H462">
        <f t="shared" si="45"/>
        <v>511.85586138943484</v>
      </c>
      <c r="I462">
        <f t="shared" si="46"/>
        <v>109.4595112669008</v>
      </c>
      <c r="J462">
        <f t="shared" si="47"/>
        <v>17.51352180270413</v>
      </c>
    </row>
    <row r="463" spans="1:10" x14ac:dyDescent="0.2">
      <c r="A463" s="2"/>
      <c r="B463" s="2"/>
      <c r="C463" s="2">
        <v>16</v>
      </c>
      <c r="D463" s="2">
        <v>16</v>
      </c>
      <c r="E463">
        <f t="shared" si="43"/>
        <v>75.333333333333101</v>
      </c>
      <c r="F463">
        <f t="shared" si="42"/>
        <v>1.2555555555555518</v>
      </c>
      <c r="G463">
        <f t="shared" si="44"/>
        <v>558.16810551238336</v>
      </c>
      <c r="H463">
        <f t="shared" si="45"/>
        <v>511.85586138943484</v>
      </c>
      <c r="I463">
        <f t="shared" si="46"/>
        <v>109.04790735369009</v>
      </c>
      <c r="J463">
        <f t="shared" si="47"/>
        <v>17.447665176590416</v>
      </c>
    </row>
    <row r="464" spans="1:10" x14ac:dyDescent="0.2">
      <c r="A464" s="2"/>
      <c r="B464" s="2"/>
      <c r="C464" s="2">
        <v>16</v>
      </c>
      <c r="D464" s="2">
        <v>16</v>
      </c>
      <c r="E464">
        <f t="shared" si="43"/>
        <v>75.499999999999773</v>
      </c>
      <c r="F464">
        <f t="shared" si="42"/>
        <v>1.2583333333333295</v>
      </c>
      <c r="G464">
        <f t="shared" si="44"/>
        <v>556.26970357955611</v>
      </c>
      <c r="H464">
        <f t="shared" si="45"/>
        <v>511.85586138943484</v>
      </c>
      <c r="I464">
        <f t="shared" si="46"/>
        <v>108.67702131407849</v>
      </c>
      <c r="J464">
        <f t="shared" si="47"/>
        <v>17.388323410252557</v>
      </c>
    </row>
    <row r="465" spans="1:10" x14ac:dyDescent="0.2">
      <c r="A465" s="2"/>
      <c r="B465" s="2"/>
      <c r="C465" s="2">
        <v>16</v>
      </c>
      <c r="D465" s="2">
        <v>16</v>
      </c>
      <c r="E465">
        <f t="shared" si="43"/>
        <v>75.666666666666444</v>
      </c>
      <c r="F465">
        <f t="shared" si="42"/>
        <v>1.2611111111111073</v>
      </c>
      <c r="G465">
        <f t="shared" si="44"/>
        <v>554.55910085723235</v>
      </c>
      <c r="H465">
        <f t="shared" si="45"/>
        <v>511.85586138943484</v>
      </c>
      <c r="I465">
        <f t="shared" si="46"/>
        <v>108.34282513672491</v>
      </c>
      <c r="J465">
        <f t="shared" si="47"/>
        <v>17.334852021875985</v>
      </c>
    </row>
    <row r="466" spans="1:10" x14ac:dyDescent="0.2">
      <c r="A466" s="2"/>
      <c r="B466" s="2"/>
      <c r="C466" s="2">
        <v>16</v>
      </c>
      <c r="D466" s="2">
        <v>16</v>
      </c>
      <c r="E466">
        <f t="shared" si="43"/>
        <v>75.833333333333101</v>
      </c>
      <c r="F466">
        <f t="shared" si="42"/>
        <v>1.2638888888888851</v>
      </c>
      <c r="G466">
        <f t="shared" si="44"/>
        <v>553.01771932836732</v>
      </c>
      <c r="H466">
        <f t="shared" si="45"/>
        <v>511.85586138943484</v>
      </c>
      <c r="I466">
        <f t="shared" si="46"/>
        <v>108.04168928088436</v>
      </c>
      <c r="J466">
        <f t="shared" si="47"/>
        <v>17.286670284941497</v>
      </c>
    </row>
    <row r="467" spans="1:10" x14ac:dyDescent="0.2">
      <c r="A467" s="2"/>
      <c r="B467" s="2"/>
      <c r="C467" s="2">
        <v>16</v>
      </c>
      <c r="D467" s="2">
        <v>16</v>
      </c>
      <c r="E467">
        <f t="shared" si="43"/>
        <v>75.999999999999773</v>
      </c>
      <c r="F467">
        <f t="shared" si="42"/>
        <v>1.2666666666666628</v>
      </c>
      <c r="G467">
        <f t="shared" si="44"/>
        <v>551.62881880428836</v>
      </c>
      <c r="H467">
        <f t="shared" si="45"/>
        <v>511.85586138943484</v>
      </c>
      <c r="I467">
        <f t="shared" si="46"/>
        <v>107.77034325774638</v>
      </c>
      <c r="J467">
        <f t="shared" si="47"/>
        <v>17.243254921239419</v>
      </c>
    </row>
    <row r="468" spans="1:10" x14ac:dyDescent="0.2">
      <c r="A468" s="2"/>
      <c r="B468" s="2"/>
      <c r="C468" s="2">
        <v>16</v>
      </c>
      <c r="D468" s="2">
        <v>16</v>
      </c>
      <c r="E468">
        <f t="shared" si="43"/>
        <v>76.16666666666643</v>
      </c>
      <c r="F468">
        <f t="shared" si="42"/>
        <v>1.2694444444444406</v>
      </c>
      <c r="G468">
        <f t="shared" si="44"/>
        <v>550.37731511771756</v>
      </c>
      <c r="H468">
        <f t="shared" si="45"/>
        <v>511.85586138943484</v>
      </c>
      <c r="I468">
        <f t="shared" si="46"/>
        <v>107.52584011126025</v>
      </c>
      <c r="J468">
        <f t="shared" si="47"/>
        <v>17.20413441780164</v>
      </c>
    </row>
    <row r="469" spans="1:10" x14ac:dyDescent="0.2">
      <c r="A469" s="2"/>
      <c r="B469" s="2"/>
      <c r="C469" s="2">
        <v>16</v>
      </c>
      <c r="D469" s="2">
        <v>16</v>
      </c>
      <c r="E469">
        <f t="shared" si="43"/>
        <v>76.333333333333101</v>
      </c>
      <c r="F469">
        <f t="shared" si="42"/>
        <v>1.2722222222222184</v>
      </c>
      <c r="G469">
        <f t="shared" si="44"/>
        <v>549.24961630103019</v>
      </c>
      <c r="H469">
        <f t="shared" si="45"/>
        <v>511.85586138943484</v>
      </c>
      <c r="I469">
        <f t="shared" si="46"/>
        <v>107.30552441269108</v>
      </c>
      <c r="J469">
        <f t="shared" si="47"/>
        <v>17.168883906030572</v>
      </c>
    </row>
    <row r="470" spans="1:10" x14ac:dyDescent="0.2">
      <c r="A470" s="2"/>
      <c r="B470" s="2"/>
      <c r="C470" s="2">
        <v>16</v>
      </c>
      <c r="D470" s="2">
        <v>16</v>
      </c>
      <c r="E470">
        <f t="shared" si="43"/>
        <v>76.499999999999773</v>
      </c>
      <c r="F470">
        <f t="shared" si="42"/>
        <v>1.2749999999999961</v>
      </c>
      <c r="G470">
        <f t="shared" si="44"/>
        <v>548.23347497056182</v>
      </c>
      <c r="H470">
        <f t="shared" si="45"/>
        <v>511.85586138943484</v>
      </c>
      <c r="I470">
        <f t="shared" si="46"/>
        <v>107.10700342131079</v>
      </c>
      <c r="J470">
        <f t="shared" si="47"/>
        <v>17.137120547409726</v>
      </c>
    </row>
    <row r="471" spans="1:10" x14ac:dyDescent="0.2">
      <c r="A471" s="2"/>
      <c r="B471" s="2"/>
      <c r="C471" s="2">
        <v>16</v>
      </c>
      <c r="D471" s="2">
        <v>16</v>
      </c>
      <c r="E471">
        <f t="shared" si="43"/>
        <v>76.66666666666643</v>
      </c>
      <c r="F471">
        <f t="shared" si="42"/>
        <v>1.2777777777777739</v>
      </c>
      <c r="G471">
        <f t="shared" si="44"/>
        <v>547.31785531378227</v>
      </c>
      <c r="H471">
        <f t="shared" si="45"/>
        <v>511.85586138943484</v>
      </c>
      <c r="I471">
        <f t="shared" si="46"/>
        <v>106.92812109801493</v>
      </c>
      <c r="J471">
        <f t="shared" si="47"/>
        <v>17.108499375682388</v>
      </c>
    </row>
    <row r="472" spans="1:10" x14ac:dyDescent="0.2">
      <c r="A472" s="2"/>
      <c r="B472" s="2"/>
      <c r="C472" s="2">
        <v>16</v>
      </c>
      <c r="D472" s="2">
        <v>16</v>
      </c>
      <c r="E472">
        <f t="shared" si="43"/>
        <v>76.833333333333101</v>
      </c>
      <c r="F472">
        <f t="shared" si="42"/>
        <v>1.2805555555555517</v>
      </c>
      <c r="G472">
        <f t="shared" si="44"/>
        <v>546.49281323474918</v>
      </c>
      <c r="H472">
        <f t="shared" si="45"/>
        <v>511.85586138943484</v>
      </c>
      <c r="I472">
        <f t="shared" si="46"/>
        <v>106.76693468963943</v>
      </c>
      <c r="J472">
        <f t="shared" si="47"/>
        <v>17.082709550342308</v>
      </c>
    </row>
    <row r="473" spans="1:10" x14ac:dyDescent="0.2">
      <c r="A473" s="2"/>
      <c r="B473" s="2"/>
      <c r="C473" s="2">
        <v>16</v>
      </c>
      <c r="D473" s="2">
        <v>16</v>
      </c>
      <c r="E473">
        <f t="shared" si="43"/>
        <v>76.999999999999773</v>
      </c>
      <c r="F473">
        <f t="shared" si="42"/>
        <v>1.2833333333333294</v>
      </c>
      <c r="G473">
        <f t="shared" si="44"/>
        <v>545.7493883561599</v>
      </c>
      <c r="H473">
        <f t="shared" si="45"/>
        <v>511.85586138943484</v>
      </c>
      <c r="I473">
        <f t="shared" si="46"/>
        <v>106.62169362967163</v>
      </c>
      <c r="J473">
        <f t="shared" si="47"/>
        <v>17.059470980747459</v>
      </c>
    </row>
    <row r="474" spans="1:10" x14ac:dyDescent="0.2">
      <c r="A474" s="2"/>
      <c r="B474" s="2"/>
      <c r="C474" s="2">
        <v>16</v>
      </c>
      <c r="D474" s="2">
        <v>16</v>
      </c>
      <c r="E474">
        <f t="shared" si="43"/>
        <v>77.16666666666643</v>
      </c>
      <c r="F474">
        <f t="shared" si="42"/>
        <v>1.2861111111111072</v>
      </c>
      <c r="G474">
        <f t="shared" si="44"/>
        <v>545.07950670508922</v>
      </c>
      <c r="H474">
        <f t="shared" si="45"/>
        <v>511.85586138943484</v>
      </c>
      <c r="I474">
        <f t="shared" si="46"/>
        <v>106.49082052620609</v>
      </c>
      <c r="J474">
        <f t="shared" si="47"/>
        <v>17.038531284192974</v>
      </c>
    </row>
    <row r="475" spans="1:10" x14ac:dyDescent="0.2">
      <c r="A475" s="2"/>
      <c r="B475" s="2"/>
      <c r="C475" s="2">
        <v>16</v>
      </c>
      <c r="D475" s="2">
        <v>16</v>
      </c>
      <c r="E475">
        <f t="shared" si="43"/>
        <v>77.333333333333101</v>
      </c>
      <c r="F475">
        <f t="shared" si="42"/>
        <v>1.288888888888885</v>
      </c>
      <c r="G475">
        <f t="shared" si="44"/>
        <v>544.47589302553001</v>
      </c>
      <c r="H475">
        <f t="shared" si="45"/>
        <v>511.85586138943484</v>
      </c>
      <c r="I475">
        <f t="shared" si="46"/>
        <v>106.37289403066478</v>
      </c>
      <c r="J475">
        <f t="shared" si="47"/>
        <v>17.019663044906366</v>
      </c>
    </row>
    <row r="476" spans="1:10" x14ac:dyDescent="0.2">
      <c r="A476" s="2"/>
      <c r="B476" s="2"/>
      <c r="C476" s="2">
        <v>16</v>
      </c>
      <c r="D476" s="2">
        <v>16</v>
      </c>
      <c r="E476">
        <f t="shared" si="43"/>
        <v>77.499999999999758</v>
      </c>
      <c r="F476">
        <f t="shared" si="42"/>
        <v>1.2916666666666627</v>
      </c>
      <c r="G476">
        <f t="shared" si="44"/>
        <v>543.93199176540634</v>
      </c>
      <c r="H476">
        <f t="shared" si="45"/>
        <v>511.85586138943484</v>
      </c>
      <c r="I476">
        <f t="shared" si="46"/>
        <v>106.26663340122759</v>
      </c>
      <c r="J476">
        <f t="shared" si="47"/>
        <v>17.002661344196415</v>
      </c>
    </row>
    <row r="477" spans="1:10" x14ac:dyDescent="0.2">
      <c r="A477" s="2"/>
      <c r="B477" s="2"/>
      <c r="C477" s="2">
        <v>16</v>
      </c>
      <c r="D477" s="2">
        <v>16</v>
      </c>
      <c r="E477">
        <f t="shared" si="43"/>
        <v>77.66666666666643</v>
      </c>
      <c r="F477">
        <f t="shared" si="42"/>
        <v>1.2944444444444405</v>
      </c>
      <c r="G477">
        <f t="shared" si="44"/>
        <v>543.44189587993844</v>
      </c>
      <c r="H477">
        <f t="shared" si="45"/>
        <v>511.85586138943484</v>
      </c>
      <c r="I477">
        <f t="shared" si="46"/>
        <v>106.17088459332345</v>
      </c>
      <c r="J477">
        <f t="shared" si="47"/>
        <v>16.987341534931751</v>
      </c>
    </row>
    <row r="478" spans="1:10" x14ac:dyDescent="0.2">
      <c r="A478" s="2"/>
      <c r="B478" s="2"/>
      <c r="C478" s="2">
        <v>16</v>
      </c>
      <c r="D478" s="2">
        <v>16</v>
      </c>
      <c r="E478">
        <f t="shared" si="43"/>
        <v>77.833333333333101</v>
      </c>
      <c r="F478">
        <f t="shared" si="42"/>
        <v>1.2972222222222183</v>
      </c>
      <c r="G478">
        <f t="shared" si="44"/>
        <v>543.00028267812695</v>
      </c>
      <c r="H478">
        <f t="shared" si="45"/>
        <v>511.85586138943484</v>
      </c>
      <c r="I478">
        <f t="shared" si="46"/>
        <v>106.08460772611853</v>
      </c>
      <c r="J478">
        <f t="shared" si="47"/>
        <v>16.973537236178966</v>
      </c>
    </row>
    <row r="479" spans="1:10" x14ac:dyDescent="0.2">
      <c r="A479" s="2"/>
      <c r="B479" s="2"/>
      <c r="C479" s="2">
        <v>16</v>
      </c>
      <c r="D479" s="2">
        <v>16</v>
      </c>
      <c r="E479">
        <f t="shared" si="43"/>
        <v>77.999999999999758</v>
      </c>
      <c r="F479">
        <f t="shared" si="42"/>
        <v>1.299999999999996</v>
      </c>
      <c r="G479">
        <f t="shared" si="44"/>
        <v>542.60235601561669</v>
      </c>
      <c r="H479">
        <f t="shared" si="45"/>
        <v>511.85586138943484</v>
      </c>
      <c r="I479">
        <f t="shared" si="46"/>
        <v>106.00686578888056</v>
      </c>
      <c r="J479">
        <f t="shared" si="47"/>
        <v>16.961098526220891</v>
      </c>
    </row>
    <row r="480" spans="1:10" x14ac:dyDescent="0.2">
      <c r="A480" s="2"/>
      <c r="B480" s="2"/>
      <c r="C480" s="2">
        <v>16</v>
      </c>
      <c r="D480" s="2">
        <v>16</v>
      </c>
      <c r="E480">
        <f t="shared" si="43"/>
        <v>78.16666666666643</v>
      </c>
      <c r="F480">
        <f t="shared" si="42"/>
        <v>1.3027777777777738</v>
      </c>
      <c r="G480">
        <f t="shared" si="44"/>
        <v>542.24379420612593</v>
      </c>
      <c r="H480">
        <f t="shared" si="45"/>
        <v>511.85586138943484</v>
      </c>
      <c r="I480">
        <f t="shared" si="46"/>
        <v>105.93681446456486</v>
      </c>
      <c r="J480">
        <f t="shared" si="47"/>
        <v>16.949890314330379</v>
      </c>
    </row>
    <row r="481" spans="1:10" x14ac:dyDescent="0.2">
      <c r="A481" s="2"/>
      <c r="B481" s="2"/>
      <c r="C481" s="2">
        <v>16</v>
      </c>
      <c r="D481" s="2">
        <v>16</v>
      </c>
      <c r="E481">
        <f t="shared" si="43"/>
        <v>78.333333333333101</v>
      </c>
      <c r="F481">
        <f t="shared" si="42"/>
        <v>1.3055555555555516</v>
      </c>
      <c r="G481">
        <f t="shared" si="44"/>
        <v>541.92070308573147</v>
      </c>
      <c r="H481">
        <f t="shared" si="45"/>
        <v>511.85586138943484</v>
      </c>
      <c r="I481">
        <f t="shared" si="46"/>
        <v>105.87369296010121</v>
      </c>
      <c r="J481">
        <f t="shared" si="47"/>
        <v>16.939790873616193</v>
      </c>
    </row>
    <row r="482" spans="1:10" x14ac:dyDescent="0.2">
      <c r="A482" s="2"/>
      <c r="B482" s="2"/>
      <c r="C482" s="2">
        <v>16</v>
      </c>
      <c r="D482" s="2">
        <v>16</v>
      </c>
      <c r="E482">
        <f t="shared" si="43"/>
        <v>78.499999999999758</v>
      </c>
      <c r="F482">
        <f t="shared" si="42"/>
        <v>1.3083333333333294</v>
      </c>
      <c r="G482">
        <f t="shared" si="44"/>
        <v>541.62957372026437</v>
      </c>
      <c r="H482">
        <f t="shared" si="45"/>
        <v>511.85586138943484</v>
      </c>
      <c r="I482">
        <f t="shared" si="46"/>
        <v>105.81681574379331</v>
      </c>
      <c r="J482">
        <f t="shared" si="47"/>
        <v>16.93069051900693</v>
      </c>
    </row>
    <row r="483" spans="1:10" x14ac:dyDescent="0.2">
      <c r="A483" s="2"/>
      <c r="B483" s="2"/>
      <c r="C483" s="2">
        <v>16</v>
      </c>
      <c r="D483" s="2">
        <v>16</v>
      </c>
      <c r="E483">
        <f t="shared" si="43"/>
        <v>78.66666666666643</v>
      </c>
      <c r="F483">
        <f t="shared" si="42"/>
        <v>1.3111111111111071</v>
      </c>
      <c r="G483">
        <f t="shared" si="44"/>
        <v>541.36724429649757</v>
      </c>
      <c r="H483">
        <f t="shared" si="45"/>
        <v>511.85586138943484</v>
      </c>
      <c r="I483">
        <f t="shared" si="46"/>
        <v>105.76556510009556</v>
      </c>
      <c r="J483">
        <f t="shared" si="47"/>
        <v>16.92249041601529</v>
      </c>
    </row>
    <row r="484" spans="1:10" x14ac:dyDescent="0.2">
      <c r="A484" s="2"/>
      <c r="B484" s="2"/>
      <c r="C484" s="2">
        <v>16</v>
      </c>
      <c r="D484" s="2">
        <v>16</v>
      </c>
      <c r="E484">
        <f t="shared" si="43"/>
        <v>78.833333333333087</v>
      </c>
      <c r="F484">
        <f t="shared" si="42"/>
        <v>1.3138888888888849</v>
      </c>
      <c r="G484">
        <f t="shared" si="44"/>
        <v>541.13086578324305</v>
      </c>
      <c r="H484">
        <f t="shared" si="45"/>
        <v>511.85586138943484</v>
      </c>
      <c r="I484">
        <f t="shared" si="46"/>
        <v>105.71938442090732</v>
      </c>
      <c r="J484">
        <f t="shared" si="47"/>
        <v>16.91510150734517</v>
      </c>
    </row>
    <row r="485" spans="1:10" x14ac:dyDescent="0.2">
      <c r="A485" s="2"/>
      <c r="B485" s="2"/>
      <c r="C485" s="2">
        <v>16</v>
      </c>
      <c r="D485" s="2">
        <v>16</v>
      </c>
      <c r="E485">
        <f t="shared" si="43"/>
        <v>78.999999999999758</v>
      </c>
      <c r="F485">
        <f t="shared" si="42"/>
        <v>1.3166666666666627</v>
      </c>
      <c r="G485">
        <f t="shared" si="44"/>
        <v>540.917870989422</v>
      </c>
      <c r="H485">
        <f t="shared" si="45"/>
        <v>511.85586138943484</v>
      </c>
      <c r="I485">
        <f t="shared" si="46"/>
        <v>105.67777216052548</v>
      </c>
      <c r="J485">
        <f t="shared" si="47"/>
        <v>16.908443545684076</v>
      </c>
    </row>
    <row r="486" spans="1:10" x14ac:dyDescent="0.2">
      <c r="A486" s="2"/>
      <c r="B486" s="2"/>
      <c r="C486" s="2">
        <v>16</v>
      </c>
      <c r="D486" s="2">
        <v>16</v>
      </c>
      <c r="E486">
        <f t="shared" si="43"/>
        <v>79.16666666666643</v>
      </c>
      <c r="F486">
        <f t="shared" si="42"/>
        <v>1.3194444444444404</v>
      </c>
      <c r="G486">
        <f t="shared" si="44"/>
        <v>540.72594668306169</v>
      </c>
      <c r="H486">
        <f t="shared" si="45"/>
        <v>511.85586138943484</v>
      </c>
      <c r="I486">
        <f t="shared" si="46"/>
        <v>105.64027638860263</v>
      </c>
      <c r="J486">
        <f t="shared" si="47"/>
        <v>16.90244422217642</v>
      </c>
    </row>
    <row r="487" spans="1:10" x14ac:dyDescent="0.2">
      <c r="A487" s="2"/>
      <c r="B487" s="2"/>
      <c r="C487" s="2">
        <v>16</v>
      </c>
      <c r="D487" s="2">
        <v>16</v>
      </c>
      <c r="E487">
        <f t="shared" si="43"/>
        <v>79.333333333333087</v>
      </c>
      <c r="F487">
        <f t="shared" si="42"/>
        <v>1.3222222222222182</v>
      </c>
      <c r="G487">
        <f t="shared" si="44"/>
        <v>540.5530084684176</v>
      </c>
      <c r="H487">
        <f t="shared" si="45"/>
        <v>511.85586138943484</v>
      </c>
      <c r="I487">
        <f t="shared" si="46"/>
        <v>105.60648988195314</v>
      </c>
      <c r="J487">
        <f t="shared" si="47"/>
        <v>16.897038381112502</v>
      </c>
    </row>
    <row r="488" spans="1:10" x14ac:dyDescent="0.2">
      <c r="A488" s="2"/>
      <c r="B488" s="2"/>
      <c r="C488" s="2">
        <v>16</v>
      </c>
      <c r="D488" s="2">
        <v>16</v>
      </c>
      <c r="E488">
        <f t="shared" si="43"/>
        <v>79.499999999999758</v>
      </c>
      <c r="F488">
        <f t="shared" si="42"/>
        <v>1.324999999999996</v>
      </c>
      <c r="G488">
        <f t="shared" si="44"/>
        <v>540.39717814837388</v>
      </c>
      <c r="H488">
        <f t="shared" si="45"/>
        <v>511.85586138943484</v>
      </c>
      <c r="I488">
        <f t="shared" si="46"/>
        <v>105.576045701902</v>
      </c>
      <c r="J488">
        <f t="shared" si="47"/>
        <v>16.89216731230432</v>
      </c>
    </row>
    <row r="489" spans="1:10" x14ac:dyDescent="0.2">
      <c r="A489" s="2"/>
      <c r="B489" s="2"/>
      <c r="C489" s="2">
        <v>16</v>
      </c>
      <c r="D489" s="2">
        <v>16</v>
      </c>
      <c r="E489">
        <f t="shared" si="43"/>
        <v>79.66666666666643</v>
      </c>
      <c r="F489">
        <f t="shared" si="42"/>
        <v>1.3277777777777737</v>
      </c>
      <c r="G489">
        <f t="shared" si="44"/>
        <v>540.25676332626585</v>
      </c>
      <c r="H489">
        <f t="shared" si="45"/>
        <v>511.85586138943484</v>
      </c>
      <c r="I489">
        <f t="shared" si="46"/>
        <v>105.54861320914381</v>
      </c>
      <c r="J489">
        <f t="shared" si="47"/>
        <v>16.88777811346301</v>
      </c>
    </row>
    <row r="490" spans="1:10" x14ac:dyDescent="0.2">
      <c r="A490" s="2"/>
      <c r="B490" s="2"/>
      <c r="C490" s="2">
        <v>16</v>
      </c>
      <c r="D490" s="2">
        <v>16</v>
      </c>
      <c r="E490">
        <f t="shared" si="43"/>
        <v>79.833333333333087</v>
      </c>
      <c r="F490">
        <f t="shared" si="42"/>
        <v>1.3305555555555515</v>
      </c>
      <c r="G490">
        <f t="shared" si="44"/>
        <v>540.13023902559007</v>
      </c>
      <c r="H490">
        <f t="shared" si="45"/>
        <v>511.85586138943484</v>
      </c>
      <c r="I490">
        <f t="shared" si="46"/>
        <v>105.52389447283153</v>
      </c>
      <c r="J490">
        <f t="shared" si="47"/>
        <v>16.883823115653044</v>
      </c>
    </row>
    <row r="491" spans="1:10" x14ac:dyDescent="0.2">
      <c r="A491" s="2"/>
      <c r="B491" s="2"/>
      <c r="C491" s="2">
        <v>16</v>
      </c>
      <c r="D491" s="2">
        <v>16</v>
      </c>
      <c r="E491">
        <f t="shared" si="43"/>
        <v>79.999999999999758</v>
      </c>
      <c r="F491">
        <f t="shared" si="42"/>
        <v>1.3333333333333293</v>
      </c>
      <c r="G491">
        <f t="shared" si="44"/>
        <v>540.01623112798234</v>
      </c>
      <c r="H491">
        <f t="shared" si="45"/>
        <v>511.85586138943484</v>
      </c>
      <c r="I491">
        <f t="shared" si="46"/>
        <v>105.50162103489566</v>
      </c>
      <c r="J491">
        <f t="shared" si="47"/>
        <v>16.880259365583306</v>
      </c>
    </row>
    <row r="492" spans="1:10" x14ac:dyDescent="0.2">
      <c r="A492" s="2"/>
      <c r="B492" s="2"/>
      <c r="C492" s="2">
        <v>8</v>
      </c>
      <c r="D492" s="2">
        <v>8</v>
      </c>
      <c r="E492">
        <f t="shared" si="43"/>
        <v>80.166666666666416</v>
      </c>
      <c r="F492">
        <f t="shared" si="42"/>
        <v>1.336111111111107</v>
      </c>
      <c r="G492">
        <f t="shared" si="44"/>
        <v>513.25434200222594</v>
      </c>
      <c r="H492">
        <f t="shared" si="45"/>
        <v>255.92793069471742</v>
      </c>
      <c r="I492">
        <f t="shared" si="46"/>
        <v>200.54643532223895</v>
      </c>
      <c r="J492">
        <f t="shared" si="47"/>
        <v>16.043714825779116</v>
      </c>
    </row>
    <row r="493" spans="1:10" x14ac:dyDescent="0.2">
      <c r="A493" s="2"/>
      <c r="B493" s="2"/>
      <c r="C493" s="2">
        <v>8</v>
      </c>
      <c r="D493" s="2">
        <v>8</v>
      </c>
      <c r="E493">
        <f t="shared" si="43"/>
        <v>80.333333333333087</v>
      </c>
      <c r="F493">
        <f t="shared" si="42"/>
        <v>1.3388888888888848</v>
      </c>
      <c r="G493">
        <f t="shared" si="44"/>
        <v>489.13986992893354</v>
      </c>
      <c r="H493">
        <f t="shared" si="45"/>
        <v>255.92793069471742</v>
      </c>
      <c r="I493">
        <f t="shared" si="46"/>
        <v>191.12406707668106</v>
      </c>
      <c r="J493">
        <f t="shared" si="47"/>
        <v>15.289925366134485</v>
      </c>
    </row>
    <row r="494" spans="1:10" x14ac:dyDescent="0.2">
      <c r="A494" s="2"/>
      <c r="B494" s="2"/>
      <c r="C494" s="2">
        <v>8</v>
      </c>
      <c r="D494" s="2">
        <v>8</v>
      </c>
      <c r="E494">
        <f t="shared" si="43"/>
        <v>80.499999999999758</v>
      </c>
      <c r="F494">
        <f t="shared" si="42"/>
        <v>1.3416666666666626</v>
      </c>
      <c r="G494">
        <f t="shared" si="44"/>
        <v>467.41091945607849</v>
      </c>
      <c r="H494">
        <f t="shared" si="45"/>
        <v>255.92793069471742</v>
      </c>
      <c r="I494">
        <f t="shared" si="46"/>
        <v>182.63380561367009</v>
      </c>
      <c r="J494">
        <f t="shared" si="47"/>
        <v>14.610704449093607</v>
      </c>
    </row>
    <row r="495" spans="1:10" x14ac:dyDescent="0.2">
      <c r="A495" s="2"/>
      <c r="B495" s="2"/>
      <c r="C495" s="2">
        <v>8</v>
      </c>
      <c r="D495" s="2">
        <v>8</v>
      </c>
      <c r="E495">
        <f t="shared" si="43"/>
        <v>80.666666666666416</v>
      </c>
      <c r="F495">
        <f t="shared" si="42"/>
        <v>1.3444444444444403</v>
      </c>
      <c r="G495">
        <f t="shared" si="44"/>
        <v>447.83150311153793</v>
      </c>
      <c r="H495">
        <f t="shared" si="45"/>
        <v>255.92793069471742</v>
      </c>
      <c r="I495">
        <f t="shared" si="46"/>
        <v>174.98344236828603</v>
      </c>
      <c r="J495">
        <f t="shared" si="47"/>
        <v>13.998675389462882</v>
      </c>
    </row>
    <row r="496" spans="1:10" x14ac:dyDescent="0.2">
      <c r="A496" s="2"/>
      <c r="B496" s="2"/>
      <c r="C496" s="2">
        <v>8</v>
      </c>
      <c r="D496" s="2">
        <v>8</v>
      </c>
      <c r="E496">
        <f t="shared" si="43"/>
        <v>80.833333333333087</v>
      </c>
      <c r="F496">
        <f t="shared" si="42"/>
        <v>1.3472222222222181</v>
      </c>
      <c r="G496">
        <f t="shared" si="44"/>
        <v>430.18897845891991</v>
      </c>
      <c r="H496">
        <f t="shared" si="45"/>
        <v>255.92793069471742</v>
      </c>
      <c r="I496">
        <f t="shared" si="46"/>
        <v>168.08989049814537</v>
      </c>
      <c r="J496">
        <f t="shared" si="47"/>
        <v>13.447191239851628</v>
      </c>
    </row>
    <row r="497" spans="1:10" x14ac:dyDescent="0.2">
      <c r="A497" s="2"/>
      <c r="B497" s="2"/>
      <c r="C497" s="2">
        <v>8</v>
      </c>
      <c r="D497" s="2">
        <v>8</v>
      </c>
      <c r="E497">
        <f t="shared" si="43"/>
        <v>80.999999999999758</v>
      </c>
      <c r="F497">
        <f t="shared" ref="F497:F560" si="48">Tsamp+F496</f>
        <v>1.3499999999999959</v>
      </c>
      <c r="G497">
        <f t="shared" si="44"/>
        <v>414.29173869237161</v>
      </c>
      <c r="H497">
        <f t="shared" si="45"/>
        <v>255.92793069471742</v>
      </c>
      <c r="I497">
        <f t="shared" si="46"/>
        <v>161.87828251796316</v>
      </c>
      <c r="J497">
        <f t="shared" si="47"/>
        <v>12.950262601437053</v>
      </c>
    </row>
    <row r="498" spans="1:10" x14ac:dyDescent="0.2">
      <c r="A498" s="2"/>
      <c r="B498" s="2"/>
      <c r="C498" s="2">
        <v>8</v>
      </c>
      <c r="D498" s="2">
        <v>8</v>
      </c>
      <c r="E498">
        <f t="shared" si="43"/>
        <v>81.166666666666416</v>
      </c>
      <c r="F498">
        <f t="shared" si="48"/>
        <v>1.3527777777777736</v>
      </c>
      <c r="G498">
        <f t="shared" si="44"/>
        <v>399.96713168905245</v>
      </c>
      <c r="H498">
        <f t="shared" si="45"/>
        <v>255.92793069471742</v>
      </c>
      <c r="I498">
        <f t="shared" si="46"/>
        <v>156.28115720052128</v>
      </c>
      <c r="J498">
        <f t="shared" si="47"/>
        <v>12.502492576041702</v>
      </c>
    </row>
    <row r="499" spans="1:10" x14ac:dyDescent="0.2">
      <c r="A499" s="2"/>
      <c r="B499" s="2"/>
      <c r="C499" s="2">
        <v>8</v>
      </c>
      <c r="D499" s="2">
        <v>8</v>
      </c>
      <c r="E499">
        <f t="shared" si="43"/>
        <v>81.333333333333087</v>
      </c>
      <c r="F499">
        <f t="shared" si="48"/>
        <v>1.3555555555555514</v>
      </c>
      <c r="G499">
        <f t="shared" si="44"/>
        <v>387.05958491912065</v>
      </c>
      <c r="H499">
        <f t="shared" si="45"/>
        <v>255.92793069471742</v>
      </c>
      <c r="I499">
        <f t="shared" si="46"/>
        <v>151.23772691337197</v>
      </c>
      <c r="J499">
        <f t="shared" si="47"/>
        <v>12.099018153069757</v>
      </c>
    </row>
    <row r="500" spans="1:10" x14ac:dyDescent="0.2">
      <c r="A500" s="2"/>
      <c r="B500" s="2"/>
      <c r="C500" s="2">
        <v>8</v>
      </c>
      <c r="D500" s="2">
        <v>8</v>
      </c>
      <c r="E500">
        <f t="shared" si="43"/>
        <v>81.499999999999744</v>
      </c>
      <c r="F500">
        <f t="shared" si="48"/>
        <v>1.3583333333333292</v>
      </c>
      <c r="G500">
        <f t="shared" si="44"/>
        <v>375.42891584880186</v>
      </c>
      <c r="H500">
        <f t="shared" si="45"/>
        <v>255.92793069471742</v>
      </c>
      <c r="I500">
        <f t="shared" si="46"/>
        <v>146.69321743418101</v>
      </c>
      <c r="J500">
        <f t="shared" si="47"/>
        <v>11.73545739473448</v>
      </c>
    </row>
    <row r="501" spans="1:10" x14ac:dyDescent="0.2">
      <c r="A501" s="2"/>
      <c r="B501" s="2"/>
      <c r="C501" s="2">
        <v>8</v>
      </c>
      <c r="D501" s="2">
        <v>8</v>
      </c>
      <c r="E501">
        <f t="shared" si="43"/>
        <v>81.666666666666416</v>
      </c>
      <c r="F501">
        <f t="shared" si="48"/>
        <v>1.3611111111111069</v>
      </c>
      <c r="G501">
        <f t="shared" si="44"/>
        <v>364.94880948665502</v>
      </c>
      <c r="H501">
        <f t="shared" si="45"/>
        <v>255.92793069471742</v>
      </c>
      <c r="I501">
        <f t="shared" si="46"/>
        <v>142.59827307476755</v>
      </c>
      <c r="J501">
        <f t="shared" si="47"/>
        <v>11.407861845981405</v>
      </c>
    </row>
    <row r="502" spans="1:10" x14ac:dyDescent="0.2">
      <c r="A502" s="2"/>
      <c r="B502" s="2"/>
      <c r="C502" s="2">
        <v>8</v>
      </c>
      <c r="D502" s="2">
        <v>8</v>
      </c>
      <c r="E502">
        <f t="shared" si="43"/>
        <v>81.833333333333087</v>
      </c>
      <c r="F502">
        <f t="shared" si="48"/>
        <v>1.3638888888888847</v>
      </c>
      <c r="G502">
        <f t="shared" si="44"/>
        <v>355.5054465384132</v>
      </c>
      <c r="H502">
        <f t="shared" si="45"/>
        <v>255.92793069471742</v>
      </c>
      <c r="I502">
        <f t="shared" si="46"/>
        <v>138.90842065318631</v>
      </c>
      <c r="J502">
        <f t="shared" si="47"/>
        <v>11.112673652254905</v>
      </c>
    </row>
    <row r="503" spans="1:10" x14ac:dyDescent="0.2">
      <c r="A503" s="2"/>
      <c r="B503" s="2"/>
      <c r="C503" s="2">
        <v>8</v>
      </c>
      <c r="D503" s="2">
        <v>8</v>
      </c>
      <c r="E503">
        <f t="shared" si="43"/>
        <v>81.999999999999744</v>
      </c>
      <c r="F503">
        <f t="shared" si="48"/>
        <v>1.3666666666666625</v>
      </c>
      <c r="G503">
        <f t="shared" si="44"/>
        <v>346.99626727146165</v>
      </c>
      <c r="H503">
        <f t="shared" si="45"/>
        <v>255.92793069471742</v>
      </c>
      <c r="I503">
        <f t="shared" si="46"/>
        <v>135.583586492314</v>
      </c>
      <c r="J503">
        <f t="shared" si="47"/>
        <v>10.846686919385119</v>
      </c>
    </row>
    <row r="504" spans="1:10" x14ac:dyDescent="0.2">
      <c r="A504" s="2"/>
      <c r="B504" s="2"/>
      <c r="C504" s="2">
        <v>8</v>
      </c>
      <c r="D504" s="2">
        <v>8</v>
      </c>
      <c r="E504">
        <f t="shared" si="43"/>
        <v>82.166666666666416</v>
      </c>
      <c r="F504">
        <f t="shared" si="48"/>
        <v>1.3694444444444402</v>
      </c>
      <c r="G504">
        <f t="shared" si="44"/>
        <v>339.32885766389188</v>
      </c>
      <c r="H504">
        <f t="shared" si="45"/>
        <v>255.92793069471742</v>
      </c>
      <c r="I504">
        <f t="shared" si="46"/>
        <v>132.58766119930024</v>
      </c>
      <c r="J504">
        <f t="shared" si="47"/>
        <v>10.607012895944019</v>
      </c>
    </row>
    <row r="505" spans="1:10" x14ac:dyDescent="0.2">
      <c r="A505" s="2"/>
      <c r="B505" s="2"/>
      <c r="C505" s="2">
        <v>8</v>
      </c>
      <c r="D505" s="2">
        <v>8</v>
      </c>
      <c r="E505">
        <f t="shared" si="43"/>
        <v>82.333333333333087</v>
      </c>
      <c r="F505">
        <f t="shared" si="48"/>
        <v>1.372222222222218</v>
      </c>
      <c r="G505">
        <f t="shared" si="44"/>
        <v>332.41994574114256</v>
      </c>
      <c r="H505">
        <f t="shared" si="45"/>
        <v>255.92793069471742</v>
      </c>
      <c r="I505">
        <f t="shared" si="46"/>
        <v>129.88810749916479</v>
      </c>
      <c r="J505">
        <f t="shared" si="47"/>
        <v>10.391048599933184</v>
      </c>
    </row>
    <row r="506" spans="1:10" x14ac:dyDescent="0.2">
      <c r="A506" s="2"/>
      <c r="B506" s="2"/>
      <c r="C506" s="2">
        <v>8</v>
      </c>
      <c r="D506" s="2">
        <v>8</v>
      </c>
      <c r="E506">
        <f t="shared" si="43"/>
        <v>82.499999999999744</v>
      </c>
      <c r="F506">
        <f t="shared" si="48"/>
        <v>1.3749999999999958</v>
      </c>
      <c r="G506">
        <f t="shared" si="44"/>
        <v>326.19449719993207</v>
      </c>
      <c r="H506">
        <f t="shared" si="45"/>
        <v>255.92793069471742</v>
      </c>
      <c r="I506">
        <f t="shared" si="46"/>
        <v>127.45560686341493</v>
      </c>
      <c r="J506">
        <f t="shared" si="47"/>
        <v>10.196448549073194</v>
      </c>
    </row>
    <row r="507" spans="1:10" x14ac:dyDescent="0.2">
      <c r="A507" s="2"/>
      <c r="B507" s="2"/>
      <c r="C507" s="2">
        <v>8</v>
      </c>
      <c r="D507" s="2">
        <v>8</v>
      </c>
      <c r="E507">
        <f t="shared" si="43"/>
        <v>82.666666666666416</v>
      </c>
      <c r="F507">
        <f t="shared" si="48"/>
        <v>1.3777777777777735</v>
      </c>
      <c r="G507">
        <f t="shared" si="44"/>
        <v>320.58490049749838</v>
      </c>
      <c r="H507">
        <f t="shared" si="45"/>
        <v>255.92793069471742</v>
      </c>
      <c r="I507">
        <f t="shared" si="46"/>
        <v>125.26374109588951</v>
      </c>
      <c r="J507">
        <f t="shared" si="47"/>
        <v>10.021099287671161</v>
      </c>
    </row>
    <row r="508" spans="1:10" x14ac:dyDescent="0.2">
      <c r="A508" s="2"/>
      <c r="B508" s="2"/>
      <c r="C508" s="2">
        <v>8</v>
      </c>
      <c r="D508" s="2">
        <v>8</v>
      </c>
      <c r="E508">
        <f t="shared" si="43"/>
        <v>82.833333333333073</v>
      </c>
      <c r="F508">
        <f t="shared" si="48"/>
        <v>1.3805555555555513</v>
      </c>
      <c r="G508">
        <f t="shared" si="44"/>
        <v>315.53023255579916</v>
      </c>
      <c r="H508">
        <f t="shared" si="45"/>
        <v>255.92793069471742</v>
      </c>
      <c r="I508">
        <f t="shared" si="46"/>
        <v>123.28870541768968</v>
      </c>
      <c r="J508">
        <f t="shared" si="47"/>
        <v>9.8630964334151745</v>
      </c>
    </row>
    <row r="509" spans="1:10" x14ac:dyDescent="0.2">
      <c r="A509" s="2"/>
      <c r="B509" s="2"/>
      <c r="C509" s="2">
        <v>8</v>
      </c>
      <c r="D509" s="2">
        <v>8</v>
      </c>
      <c r="E509">
        <f t="shared" si="43"/>
        <v>82.999999999999744</v>
      </c>
      <c r="F509">
        <f t="shared" si="48"/>
        <v>1.3833333333333291</v>
      </c>
      <c r="G509">
        <f t="shared" si="44"/>
        <v>310.97559710584653</v>
      </c>
      <c r="H509">
        <f t="shared" si="45"/>
        <v>255.92793069471742</v>
      </c>
      <c r="I509">
        <f t="shared" si="46"/>
        <v>121.50904993515243</v>
      </c>
      <c r="J509">
        <f t="shared" si="47"/>
        <v>9.7207239948121948</v>
      </c>
    </row>
    <row r="510" spans="1:10" x14ac:dyDescent="0.2">
      <c r="A510" s="2"/>
      <c r="B510" s="2"/>
      <c r="C510" s="2">
        <v>8</v>
      </c>
      <c r="D510" s="2">
        <v>8</v>
      </c>
      <c r="E510">
        <f t="shared" si="43"/>
        <v>83.166666666666416</v>
      </c>
      <c r="F510">
        <f t="shared" si="48"/>
        <v>1.3861111111111069</v>
      </c>
      <c r="G510">
        <f t="shared" si="44"/>
        <v>306.87152848625851</v>
      </c>
      <c r="H510">
        <f t="shared" si="45"/>
        <v>255.92793069471742</v>
      </c>
      <c r="I510">
        <f t="shared" si="46"/>
        <v>119.90544668307773</v>
      </c>
      <c r="J510">
        <f t="shared" si="47"/>
        <v>9.5924357346462177</v>
      </c>
    </row>
    <row r="511" spans="1:10" x14ac:dyDescent="0.2">
      <c r="A511" s="2"/>
      <c r="B511" s="2"/>
      <c r="C511" s="2">
        <v>8</v>
      </c>
      <c r="D511" s="2">
        <v>8</v>
      </c>
      <c r="E511">
        <f t="shared" si="43"/>
        <v>83.333333333333073</v>
      </c>
      <c r="F511">
        <f t="shared" si="48"/>
        <v>1.3888888888888846</v>
      </c>
      <c r="G511">
        <f t="shared" si="44"/>
        <v>303.17345442097582</v>
      </c>
      <c r="H511">
        <f t="shared" si="45"/>
        <v>255.92793069471742</v>
      </c>
      <c r="I511">
        <f t="shared" si="46"/>
        <v>118.4604797131795</v>
      </c>
      <c r="J511">
        <f t="shared" si="47"/>
        <v>9.4768383770543601</v>
      </c>
    </row>
    <row r="512" spans="1:10" x14ac:dyDescent="0.2">
      <c r="A512" s="2"/>
      <c r="B512" s="2"/>
      <c r="C512" s="2">
        <v>8</v>
      </c>
      <c r="D512" s="2">
        <v>8</v>
      </c>
      <c r="E512">
        <f t="shared" si="43"/>
        <v>83.499999999999744</v>
      </c>
      <c r="F512">
        <f t="shared" si="48"/>
        <v>1.3916666666666624</v>
      </c>
      <c r="G512">
        <f t="shared" si="44"/>
        <v>299.84121194163606</v>
      </c>
      <c r="H512">
        <f t="shared" si="45"/>
        <v>255.92793069471742</v>
      </c>
      <c r="I512">
        <f t="shared" si="46"/>
        <v>117.15845594801468</v>
      </c>
      <c r="J512">
        <f t="shared" si="47"/>
        <v>9.3726764758411747</v>
      </c>
    </row>
    <row r="513" spans="1:10" x14ac:dyDescent="0.2">
      <c r="A513" s="2"/>
      <c r="B513" s="2"/>
      <c r="C513" s="2">
        <v>8</v>
      </c>
      <c r="D513" s="2">
        <v>8</v>
      </c>
      <c r="E513">
        <f t="shared" si="43"/>
        <v>83.666666666666416</v>
      </c>
      <c r="F513">
        <f t="shared" si="48"/>
        <v>1.3944444444444402</v>
      </c>
      <c r="G513">
        <f t="shared" si="44"/>
        <v>296.83861119727601</v>
      </c>
      <c r="H513">
        <f t="shared" si="45"/>
        <v>255.92793069471742</v>
      </c>
      <c r="I513">
        <f t="shared" si="46"/>
        <v>115.98523474616718</v>
      </c>
      <c r="J513">
        <f t="shared" si="47"/>
        <v>9.2788187796933741</v>
      </c>
    </row>
    <row r="514" spans="1:10" x14ac:dyDescent="0.2">
      <c r="A514" s="2"/>
      <c r="B514" s="2"/>
      <c r="C514" s="2">
        <v>8</v>
      </c>
      <c r="D514" s="2">
        <v>8</v>
      </c>
      <c r="E514">
        <f t="shared" si="43"/>
        <v>83.833333333333073</v>
      </c>
      <c r="F514">
        <f t="shared" si="48"/>
        <v>1.3972222222222179</v>
      </c>
      <c r="G514">
        <f t="shared" si="44"/>
        <v>294.13304241411294</v>
      </c>
      <c r="H514">
        <f t="shared" si="45"/>
        <v>255.92793069471742</v>
      </c>
      <c r="I514">
        <f t="shared" si="46"/>
        <v>114.92807432767795</v>
      </c>
      <c r="J514">
        <f t="shared" si="47"/>
        <v>9.1942459462142363</v>
      </c>
    </row>
    <row r="515" spans="1:10" x14ac:dyDescent="0.2">
      <c r="A515" s="2"/>
      <c r="B515" s="2"/>
      <c r="C515" s="2">
        <v>8</v>
      </c>
      <c r="D515" s="2">
        <v>8</v>
      </c>
      <c r="E515">
        <f t="shared" si="43"/>
        <v>83.999999999999744</v>
      </c>
      <c r="F515">
        <f t="shared" si="48"/>
        <v>1.3999999999999957</v>
      </c>
      <c r="G515">
        <f t="shared" si="44"/>
        <v>291.69512173678805</v>
      </c>
      <c r="H515">
        <f t="shared" si="45"/>
        <v>255.92793069471742</v>
      </c>
      <c r="I515">
        <f t="shared" si="46"/>
        <v>113.97549339182341</v>
      </c>
      <c r="J515">
        <f t="shared" si="47"/>
        <v>9.1180394713458721</v>
      </c>
    </row>
    <row r="516" spans="1:10" x14ac:dyDescent="0.2">
      <c r="A516" s="2"/>
      <c r="B516" s="2"/>
      <c r="C516" s="2">
        <v>8</v>
      </c>
      <c r="D516" s="2">
        <v>8</v>
      </c>
      <c r="E516">
        <f t="shared" si="43"/>
        <v>84.166666666666401</v>
      </c>
      <c r="F516">
        <f t="shared" si="48"/>
        <v>1.4027777777777735</v>
      </c>
      <c r="G516">
        <f t="shared" si="44"/>
        <v>289.49837210472742</v>
      </c>
      <c r="H516">
        <f t="shared" si="45"/>
        <v>255.92793069471742</v>
      </c>
      <c r="I516">
        <f t="shared" si="46"/>
        <v>113.11714642434021</v>
      </c>
      <c r="J516">
        <f t="shared" si="47"/>
        <v>9.0493717139472167</v>
      </c>
    </row>
    <row r="517" spans="1:10" x14ac:dyDescent="0.2">
      <c r="A517" s="2"/>
      <c r="B517" s="2"/>
      <c r="C517" s="2">
        <v>8</v>
      </c>
      <c r="D517" s="2">
        <v>8</v>
      </c>
      <c r="E517">
        <f t="shared" si="43"/>
        <v>84.333333333333073</v>
      </c>
      <c r="F517">
        <f t="shared" si="48"/>
        <v>1.4055555555555512</v>
      </c>
      <c r="G517">
        <f t="shared" si="44"/>
        <v>287.51893569777519</v>
      </c>
      <c r="H517">
        <f t="shared" si="45"/>
        <v>255.92793069471742</v>
      </c>
      <c r="I517">
        <f t="shared" si="46"/>
        <v>112.34371133986973</v>
      </c>
      <c r="J517">
        <f t="shared" si="47"/>
        <v>8.9874969071895787</v>
      </c>
    </row>
    <row r="518" spans="1:10" x14ac:dyDescent="0.2">
      <c r="A518" s="2"/>
      <c r="B518" s="2"/>
      <c r="C518" s="2">
        <v>8</v>
      </c>
      <c r="D518" s="2">
        <v>8</v>
      </c>
      <c r="E518">
        <f t="shared" si="43"/>
        <v>84.499999999999744</v>
      </c>
      <c r="F518">
        <f t="shared" si="48"/>
        <v>1.408333333333329</v>
      </c>
      <c r="G518">
        <f t="shared" si="44"/>
        <v>285.73531482811211</v>
      </c>
      <c r="H518">
        <f t="shared" si="45"/>
        <v>255.92793069471742</v>
      </c>
      <c r="I518">
        <f t="shared" si="46"/>
        <v>111.64678823936191</v>
      </c>
      <c r="J518">
        <f t="shared" si="47"/>
        <v>8.9317430591489533</v>
      </c>
    </row>
    <row r="519" spans="1:10" x14ac:dyDescent="0.2">
      <c r="A519" s="2"/>
      <c r="B519" s="2"/>
      <c r="C519" s="2">
        <v>8</v>
      </c>
      <c r="D519" s="2">
        <v>8</v>
      </c>
      <c r="E519">
        <f t="shared" si="43"/>
        <v>84.666666666666401</v>
      </c>
      <c r="F519">
        <f t="shared" si="48"/>
        <v>1.4111111111111068</v>
      </c>
      <c r="G519">
        <f t="shared" si="44"/>
        <v>284.12813846441378</v>
      </c>
      <c r="H519">
        <f t="shared" si="45"/>
        <v>255.92793069471742</v>
      </c>
      <c r="I519">
        <f t="shared" si="46"/>
        <v>111.01880818289227</v>
      </c>
      <c r="J519">
        <f t="shared" si="47"/>
        <v>8.8815046546313816</v>
      </c>
    </row>
    <row r="520" spans="1:10" x14ac:dyDescent="0.2">
      <c r="A520" s="2"/>
      <c r="B520" s="2"/>
      <c r="C520" s="2">
        <v>8</v>
      </c>
      <c r="D520" s="2">
        <v>8</v>
      </c>
      <c r="E520">
        <f t="shared" si="43"/>
        <v>84.833333333333073</v>
      </c>
      <c r="F520">
        <f t="shared" si="48"/>
        <v>1.4138888888888845</v>
      </c>
      <c r="G520">
        <f t="shared" si="44"/>
        <v>282.67995185258155</v>
      </c>
      <c r="H520">
        <f t="shared" si="45"/>
        <v>255.92793069471742</v>
      </c>
      <c r="I520">
        <f t="shared" si="46"/>
        <v>110.452950987118</v>
      </c>
      <c r="J520">
        <f t="shared" si="47"/>
        <v>8.8362360789694403</v>
      </c>
    </row>
    <row r="521" spans="1:10" x14ac:dyDescent="0.2">
      <c r="A521" s="2"/>
      <c r="B521" s="2"/>
      <c r="C521" s="2">
        <v>8</v>
      </c>
      <c r="D521" s="2">
        <v>8</v>
      </c>
      <c r="E521">
        <f t="shared" si="43"/>
        <v>84.999999999999744</v>
      </c>
      <c r="F521">
        <f t="shared" si="48"/>
        <v>1.4166666666666623</v>
      </c>
      <c r="G521">
        <f t="shared" si="44"/>
        <v>281.37502694822064</v>
      </c>
      <c r="H521">
        <f t="shared" si="45"/>
        <v>255.92793069471742</v>
      </c>
      <c r="I521">
        <f t="shared" si="46"/>
        <v>109.94307115461255</v>
      </c>
      <c r="J521">
        <f t="shared" si="47"/>
        <v>8.7954456923690039</v>
      </c>
    </row>
    <row r="522" spans="1:10" x14ac:dyDescent="0.2">
      <c r="A522" s="2"/>
      <c r="B522" s="2"/>
      <c r="C522" s="2">
        <v>8</v>
      </c>
      <c r="D522" s="2">
        <v>8</v>
      </c>
      <c r="E522">
        <f t="shared" si="43"/>
        <v>85.166666666666401</v>
      </c>
      <c r="F522">
        <f t="shared" si="48"/>
        <v>1.4194444444444401</v>
      </c>
      <c r="G522">
        <f t="shared" si="44"/>
        <v>280.1991916020653</v>
      </c>
      <c r="H522">
        <f t="shared" si="45"/>
        <v>255.92793069471742</v>
      </c>
      <c r="I522">
        <f t="shared" si="46"/>
        <v>109.48363113063253</v>
      </c>
      <c r="J522">
        <f t="shared" si="47"/>
        <v>8.7586904904506024</v>
      </c>
    </row>
    <row r="523" spans="1:10" x14ac:dyDescent="0.2">
      <c r="A523" s="2"/>
      <c r="B523" s="2"/>
      <c r="C523" s="2">
        <v>8</v>
      </c>
      <c r="D523" s="2">
        <v>8</v>
      </c>
      <c r="E523">
        <f t="shared" si="43"/>
        <v>85.333333333333073</v>
      </c>
      <c r="F523">
        <f t="shared" si="48"/>
        <v>1.4222222222222178</v>
      </c>
      <c r="G523">
        <f t="shared" si="44"/>
        <v>279.13967564321757</v>
      </c>
      <c r="H523">
        <f t="shared" si="45"/>
        <v>255.92793069471742</v>
      </c>
      <c r="I523">
        <f t="shared" si="46"/>
        <v>109.06964116245217</v>
      </c>
      <c r="J523">
        <f t="shared" si="47"/>
        <v>8.7255712929961735</v>
      </c>
    </row>
    <row r="524" spans="1:10" x14ac:dyDescent="0.2">
      <c r="A524" s="2"/>
      <c r="B524" s="2"/>
      <c r="C524" s="2">
        <v>8</v>
      </c>
      <c r="D524" s="2">
        <v>8</v>
      </c>
      <c r="E524">
        <f t="shared" ref="E524:E587" si="49">F524*60</f>
        <v>85.49999999999973</v>
      </c>
      <c r="F524">
        <f t="shared" si="48"/>
        <v>1.4249999999999956</v>
      </c>
      <c r="G524">
        <f t="shared" ref="G524:G587" si="50">Tsamp*$D524*G$3/G$5+G$8*G523</f>
        <v>278.18497218858545</v>
      </c>
      <c r="H524">
        <f t="shared" ref="H524:H587" si="51">$D524*$G$3/$G$6</f>
        <v>255.92793069471742</v>
      </c>
      <c r="I524">
        <f t="shared" ref="I524:I587" si="52">G524/H524*100</f>
        <v>108.69660510810648</v>
      </c>
      <c r="J524">
        <f t="shared" si="47"/>
        <v>8.6957284086485185</v>
      </c>
    </row>
    <row r="525" spans="1:10" x14ac:dyDescent="0.2">
      <c r="A525" s="2"/>
      <c r="B525" s="2"/>
      <c r="C525" s="2">
        <v>8</v>
      </c>
      <c r="D525" s="2">
        <v>8</v>
      </c>
      <c r="E525">
        <f t="shared" si="49"/>
        <v>85.666666666666401</v>
      </c>
      <c r="F525">
        <f t="shared" si="48"/>
        <v>1.4277777777777734</v>
      </c>
      <c r="G525">
        <f t="shared" si="50"/>
        <v>277.32471267227032</v>
      </c>
      <c r="H525">
        <f t="shared" si="51"/>
        <v>255.92793069471742</v>
      </c>
      <c r="I525">
        <f t="shared" si="52"/>
        <v>108.36047160599911</v>
      </c>
      <c r="J525">
        <f t="shared" ref="J525:J588" si="53">($I525/100)*$D525</f>
        <v>8.6688377284799287</v>
      </c>
    </row>
    <row r="526" spans="1:10" x14ac:dyDescent="0.2">
      <c r="A526" s="2"/>
      <c r="B526" s="2"/>
      <c r="C526" s="2">
        <v>8</v>
      </c>
      <c r="D526" s="2">
        <v>8</v>
      </c>
      <c r="E526">
        <f t="shared" si="49"/>
        <v>85.833333333333073</v>
      </c>
      <c r="F526">
        <f t="shared" si="48"/>
        <v>1.4305555555555511</v>
      </c>
      <c r="G526">
        <f t="shared" si="50"/>
        <v>276.54955423765892</v>
      </c>
      <c r="H526">
        <f t="shared" si="51"/>
        <v>255.92793069471742</v>
      </c>
      <c r="I526">
        <f t="shared" si="52"/>
        <v>108.05759007505122</v>
      </c>
      <c r="J526">
        <f t="shared" si="53"/>
        <v>8.6446072060040979</v>
      </c>
    </row>
    <row r="527" spans="1:10" x14ac:dyDescent="0.2">
      <c r="A527" s="2"/>
      <c r="B527" s="2"/>
      <c r="C527" s="2">
        <v>8</v>
      </c>
      <c r="D527" s="2">
        <v>8</v>
      </c>
      <c r="E527">
        <f t="shared" si="49"/>
        <v>85.99999999999973</v>
      </c>
      <c r="F527">
        <f t="shared" si="48"/>
        <v>1.4333333333333289</v>
      </c>
      <c r="G527">
        <f t="shared" si="50"/>
        <v>275.8510782692407</v>
      </c>
      <c r="H527">
        <f t="shared" si="51"/>
        <v>255.92793069471742</v>
      </c>
      <c r="I527">
        <f t="shared" si="52"/>
        <v>107.78467106753131</v>
      </c>
      <c r="J527">
        <f t="shared" si="53"/>
        <v>8.622773685402505</v>
      </c>
    </row>
    <row r="528" spans="1:10" x14ac:dyDescent="0.2">
      <c r="A528" s="2"/>
      <c r="B528" s="2"/>
      <c r="C528" s="2">
        <v>8</v>
      </c>
      <c r="D528" s="2">
        <v>8</v>
      </c>
      <c r="E528">
        <f t="shared" si="49"/>
        <v>86.166666666666401</v>
      </c>
      <c r="F528">
        <f t="shared" si="48"/>
        <v>1.4361111111111067</v>
      </c>
      <c r="G528">
        <f t="shared" si="50"/>
        <v>275.22169896215445</v>
      </c>
      <c r="H528">
        <f t="shared" si="51"/>
        <v>255.92793069471742</v>
      </c>
      <c r="I528">
        <f t="shared" si="52"/>
        <v>107.53875054397697</v>
      </c>
      <c r="J528">
        <f t="shared" si="53"/>
        <v>8.6031000435181575</v>
      </c>
    </row>
    <row r="529" spans="1:10" x14ac:dyDescent="0.2">
      <c r="A529" s="2"/>
      <c r="B529" s="2"/>
      <c r="C529" s="2">
        <v>8</v>
      </c>
      <c r="D529" s="2">
        <v>8</v>
      </c>
      <c r="E529">
        <f t="shared" si="49"/>
        <v>86.333333333333073</v>
      </c>
      <c r="F529">
        <f t="shared" si="48"/>
        <v>1.4388888888888844</v>
      </c>
      <c r="G529">
        <f t="shared" si="50"/>
        <v>274.65458093648294</v>
      </c>
      <c r="H529">
        <f t="shared" si="51"/>
        <v>255.92793069471742</v>
      </c>
      <c r="I529">
        <f t="shared" si="52"/>
        <v>107.31715768221622</v>
      </c>
      <c r="J529">
        <f t="shared" si="53"/>
        <v>8.5853726145772971</v>
      </c>
    </row>
    <row r="530" spans="1:10" x14ac:dyDescent="0.2">
      <c r="A530" s="2"/>
      <c r="B530" s="2"/>
      <c r="C530" s="2">
        <v>8</v>
      </c>
      <c r="D530" s="2">
        <v>8</v>
      </c>
      <c r="E530">
        <f t="shared" si="49"/>
        <v>86.49999999999973</v>
      </c>
      <c r="F530">
        <f t="shared" si="48"/>
        <v>1.4416666666666622</v>
      </c>
      <c r="G530">
        <f t="shared" si="50"/>
        <v>274.14356500154452</v>
      </c>
      <c r="H530">
        <f t="shared" si="51"/>
        <v>255.92793069471742</v>
      </c>
      <c r="I530">
        <f t="shared" si="52"/>
        <v>107.11748587087806</v>
      </c>
      <c r="J530">
        <f t="shared" si="53"/>
        <v>8.5693988696702448</v>
      </c>
    </row>
    <row r="531" spans="1:10" x14ac:dyDescent="0.2">
      <c r="A531" s="2"/>
      <c r="B531" s="2"/>
      <c r="C531" s="2">
        <v>8</v>
      </c>
      <c r="D531" s="2">
        <v>8</v>
      </c>
      <c r="E531">
        <f t="shared" si="49"/>
        <v>86.666666666666401</v>
      </c>
      <c r="F531">
        <f t="shared" si="48"/>
        <v>1.44444444444444</v>
      </c>
      <c r="G531">
        <f t="shared" si="50"/>
        <v>273.68310126394465</v>
      </c>
      <c r="H531">
        <f t="shared" si="51"/>
        <v>255.92793069471742</v>
      </c>
      <c r="I531">
        <f t="shared" si="52"/>
        <v>106.93756657236698</v>
      </c>
      <c r="J531">
        <f t="shared" si="53"/>
        <v>8.5550053257893577</v>
      </c>
    </row>
    <row r="532" spans="1:10" x14ac:dyDescent="0.2">
      <c r="A532" s="2"/>
      <c r="B532" s="2"/>
      <c r="C532" s="2">
        <v>8</v>
      </c>
      <c r="D532" s="2">
        <v>8</v>
      </c>
      <c r="E532">
        <f t="shared" si="49"/>
        <v>86.833333333333059</v>
      </c>
      <c r="F532">
        <f t="shared" si="48"/>
        <v>1.4472222222222177</v>
      </c>
      <c r="G532">
        <f t="shared" si="50"/>
        <v>273.26818885290601</v>
      </c>
      <c r="H532">
        <f t="shared" si="51"/>
        <v>255.92793069471742</v>
      </c>
      <c r="I532">
        <f t="shared" si="52"/>
        <v>106.77544577143978</v>
      </c>
      <c r="J532">
        <f t="shared" si="53"/>
        <v>8.5420356617151825</v>
      </c>
    </row>
    <row r="533" spans="1:10" x14ac:dyDescent="0.2">
      <c r="A533" s="2"/>
      <c r="B533" s="2"/>
      <c r="C533" s="2">
        <v>8</v>
      </c>
      <c r="D533" s="2">
        <v>8</v>
      </c>
      <c r="E533">
        <f t="shared" si="49"/>
        <v>86.99999999999973</v>
      </c>
      <c r="F533">
        <f t="shared" si="48"/>
        <v>1.4499999999999955</v>
      </c>
      <c r="G533">
        <f t="shared" si="50"/>
        <v>272.89432160826431</v>
      </c>
      <c r="H533">
        <f t="shared" si="51"/>
        <v>255.92793069471742</v>
      </c>
      <c r="I533">
        <f t="shared" si="52"/>
        <v>106.62936275360471</v>
      </c>
      <c r="J533">
        <f t="shared" si="53"/>
        <v>8.5303490202883765</v>
      </c>
    </row>
    <row r="534" spans="1:10" x14ac:dyDescent="0.2">
      <c r="A534" s="2"/>
      <c r="B534" s="2"/>
      <c r="C534" s="2">
        <v>8</v>
      </c>
      <c r="D534" s="2">
        <v>8</v>
      </c>
      <c r="E534">
        <f t="shared" si="49"/>
        <v>87.166666666666401</v>
      </c>
      <c r="F534">
        <f t="shared" si="48"/>
        <v>1.4527777777777733</v>
      </c>
      <c r="G534">
        <f t="shared" si="50"/>
        <v>272.55743914127305</v>
      </c>
      <c r="H534">
        <f t="shared" si="51"/>
        <v>255.92793069471742</v>
      </c>
      <c r="I534">
        <f t="shared" si="52"/>
        <v>106.49773098286488</v>
      </c>
      <c r="J534">
        <f t="shared" si="53"/>
        <v>8.5198184786291904</v>
      </c>
    </row>
    <row r="535" spans="1:10" x14ac:dyDescent="0.2">
      <c r="A535" s="2"/>
      <c r="B535" s="2"/>
      <c r="C535" s="2">
        <v>8</v>
      </c>
      <c r="D535" s="2">
        <v>8</v>
      </c>
      <c r="E535">
        <f t="shared" si="49"/>
        <v>87.333333333333059</v>
      </c>
      <c r="F535">
        <f t="shared" si="48"/>
        <v>1.4555555555555511</v>
      </c>
      <c r="G535">
        <f t="shared" si="50"/>
        <v>272.25388273671325</v>
      </c>
      <c r="H535">
        <f t="shared" si="51"/>
        <v>255.92793069471742</v>
      </c>
      <c r="I535">
        <f t="shared" si="52"/>
        <v>106.37912087112922</v>
      </c>
      <c r="J535">
        <f t="shared" si="53"/>
        <v>8.5103296696903374</v>
      </c>
    </row>
    <row r="536" spans="1:10" x14ac:dyDescent="0.2">
      <c r="A536" s="2"/>
      <c r="B536" s="2"/>
      <c r="C536" s="2">
        <v>8</v>
      </c>
      <c r="D536" s="2">
        <v>8</v>
      </c>
      <c r="E536">
        <f t="shared" si="49"/>
        <v>87.49999999999973</v>
      </c>
      <c r="F536">
        <f t="shared" si="48"/>
        <v>1.4583333333333288</v>
      </c>
      <c r="G536">
        <f t="shared" si="50"/>
        <v>271.98035561738214</v>
      </c>
      <c r="H536">
        <f t="shared" si="51"/>
        <v>255.92793069471742</v>
      </c>
      <c r="I536">
        <f t="shared" si="52"/>
        <v>106.27224425215738</v>
      </c>
      <c r="J536">
        <f t="shared" si="53"/>
        <v>8.5017795401725902</v>
      </c>
    </row>
    <row r="537" spans="1:10" x14ac:dyDescent="0.2">
      <c r="A537" s="2"/>
      <c r="B537" s="2"/>
      <c r="C537" s="2">
        <v>8</v>
      </c>
      <c r="D537" s="2">
        <v>8</v>
      </c>
      <c r="E537">
        <f t="shared" si="49"/>
        <v>87.666666666666401</v>
      </c>
      <c r="F537">
        <f t="shared" si="48"/>
        <v>1.4611111111111066</v>
      </c>
      <c r="G537">
        <f t="shared" si="50"/>
        <v>271.73388713941324</v>
      </c>
      <c r="H537">
        <f t="shared" si="51"/>
        <v>255.92793069471742</v>
      </c>
      <c r="I537">
        <f t="shared" si="52"/>
        <v>106.17594039141819</v>
      </c>
      <c r="J537">
        <f t="shared" si="53"/>
        <v>8.494075231313456</v>
      </c>
    </row>
    <row r="538" spans="1:10" x14ac:dyDescent="0.2">
      <c r="A538" s="2"/>
      <c r="B538" s="2"/>
      <c r="C538" s="2">
        <v>8</v>
      </c>
      <c r="D538" s="2">
        <v>8</v>
      </c>
      <c r="E538">
        <f t="shared" si="49"/>
        <v>87.833333333333059</v>
      </c>
      <c r="F538">
        <f t="shared" si="48"/>
        <v>1.4638888888888844</v>
      </c>
      <c r="G538">
        <f t="shared" si="50"/>
        <v>271.51180052957045</v>
      </c>
      <c r="H538">
        <f t="shared" si="51"/>
        <v>255.92793069471742</v>
      </c>
      <c r="I538">
        <f t="shared" si="52"/>
        <v>106.08916337992127</v>
      </c>
      <c r="J538">
        <f t="shared" si="53"/>
        <v>8.4871330703937016</v>
      </c>
    </row>
    <row r="539" spans="1:10" x14ac:dyDescent="0.2">
      <c r="A539" s="2"/>
      <c r="B539" s="2"/>
      <c r="C539" s="2">
        <v>8</v>
      </c>
      <c r="D539" s="2">
        <v>8</v>
      </c>
      <c r="E539">
        <f t="shared" si="49"/>
        <v>87.99999999999973</v>
      </c>
      <c r="F539">
        <f t="shared" si="48"/>
        <v>1.4666666666666621</v>
      </c>
      <c r="G539">
        <f t="shared" si="50"/>
        <v>271.31168381412704</v>
      </c>
      <c r="H539">
        <f t="shared" si="51"/>
        <v>255.92793069471742</v>
      </c>
      <c r="I539">
        <f t="shared" si="52"/>
        <v>106.0109707751125</v>
      </c>
      <c r="J539">
        <f t="shared" si="53"/>
        <v>8.4808776620090001</v>
      </c>
    </row>
    <row r="540" spans="1:10" x14ac:dyDescent="0.2">
      <c r="A540" s="2"/>
      <c r="B540" s="2"/>
      <c r="C540" s="2">
        <v>8</v>
      </c>
      <c r="D540" s="2">
        <v>8</v>
      </c>
      <c r="E540">
        <f t="shared" si="49"/>
        <v>88.166666666666387</v>
      </c>
      <c r="F540">
        <f t="shared" si="48"/>
        <v>1.4694444444444399</v>
      </c>
      <c r="G540">
        <f t="shared" si="50"/>
        <v>271.13136362360228</v>
      </c>
      <c r="H540">
        <f t="shared" si="51"/>
        <v>255.92793069471742</v>
      </c>
      <c r="I540">
        <f t="shared" si="52"/>
        <v>105.94051336546781</v>
      </c>
      <c r="J540">
        <f t="shared" si="53"/>
        <v>8.4752410692374252</v>
      </c>
    </row>
    <row r="541" spans="1:10" x14ac:dyDescent="0.2">
      <c r="A541" s="2"/>
      <c r="B541" s="2"/>
      <c r="C541" s="2">
        <v>8</v>
      </c>
      <c r="D541" s="2">
        <v>8</v>
      </c>
      <c r="E541">
        <f t="shared" si="49"/>
        <v>88.333333333333059</v>
      </c>
      <c r="F541">
        <f t="shared" si="48"/>
        <v>1.4722222222222177</v>
      </c>
      <c r="G541">
        <f t="shared" si="50"/>
        <v>270.96888158886151</v>
      </c>
      <c r="H541">
        <f t="shared" si="51"/>
        <v>255.92793069471742</v>
      </c>
      <c r="I541">
        <f t="shared" si="52"/>
        <v>105.87702594762337</v>
      </c>
      <c r="J541">
        <f t="shared" si="53"/>
        <v>8.4701620758098688</v>
      </c>
    </row>
    <row r="542" spans="1:10" x14ac:dyDescent="0.2">
      <c r="A542" s="2"/>
      <c r="B542" s="2"/>
      <c r="C542" s="2">
        <v>8</v>
      </c>
      <c r="D542" s="2">
        <v>8</v>
      </c>
      <c r="E542">
        <f t="shared" si="49"/>
        <v>88.49999999999973</v>
      </c>
      <c r="F542">
        <f t="shared" si="48"/>
        <v>1.4749999999999954</v>
      </c>
      <c r="G542">
        <f t="shared" si="50"/>
        <v>270.82247307222963</v>
      </c>
      <c r="H542">
        <f t="shared" si="51"/>
        <v>255.92793069471742</v>
      </c>
      <c r="I542">
        <f t="shared" si="52"/>
        <v>105.8198190158772</v>
      </c>
      <c r="J542">
        <f t="shared" si="53"/>
        <v>8.4655855212701763</v>
      </c>
    </row>
    <row r="543" spans="1:10" x14ac:dyDescent="0.2">
      <c r="A543" s="2"/>
      <c r="B543" s="2"/>
      <c r="C543" s="2">
        <v>8</v>
      </c>
      <c r="D543" s="2">
        <v>8</v>
      </c>
      <c r="E543">
        <f t="shared" si="49"/>
        <v>88.666666666666387</v>
      </c>
      <c r="F543">
        <f t="shared" si="48"/>
        <v>1.4777777777777732</v>
      </c>
      <c r="G543">
        <f t="shared" si="50"/>
        <v>270.69054800262711</v>
      </c>
      <c r="H543">
        <f t="shared" si="51"/>
        <v>255.92793069471742</v>
      </c>
      <c r="I543">
        <f t="shared" si="52"/>
        <v>105.76827127380608</v>
      </c>
      <c r="J543">
        <f t="shared" si="53"/>
        <v>8.4614617019044864</v>
      </c>
    </row>
    <row r="544" spans="1:10" x14ac:dyDescent="0.2">
      <c r="A544" s="2"/>
      <c r="B544" s="2"/>
      <c r="C544" s="2">
        <v>8</v>
      </c>
      <c r="D544" s="2">
        <v>8</v>
      </c>
      <c r="E544">
        <f t="shared" si="49"/>
        <v>88.833333333333059</v>
      </c>
      <c r="F544">
        <f t="shared" si="48"/>
        <v>1.480555555555551</v>
      </c>
      <c r="G544">
        <f t="shared" si="50"/>
        <v>270.57167360658769</v>
      </c>
      <c r="H544">
        <f t="shared" si="51"/>
        <v>255.92793069471742</v>
      </c>
      <c r="I544">
        <f t="shared" si="52"/>
        <v>105.7218228866696</v>
      </c>
      <c r="J544">
        <f t="shared" si="53"/>
        <v>8.4577458309335682</v>
      </c>
    </row>
    <row r="545" spans="1:10" x14ac:dyDescent="0.2">
      <c r="A545" s="2"/>
      <c r="B545" s="2"/>
      <c r="C545" s="2">
        <v>8</v>
      </c>
      <c r="D545" s="2">
        <v>8</v>
      </c>
      <c r="E545">
        <f t="shared" si="49"/>
        <v>88.99999999999973</v>
      </c>
      <c r="F545">
        <f t="shared" si="48"/>
        <v>1.4833333333333287</v>
      </c>
      <c r="G545">
        <f t="shared" si="50"/>
        <v>270.46455884760894</v>
      </c>
      <c r="H545">
        <f t="shared" si="51"/>
        <v>255.92793069471742</v>
      </c>
      <c r="I545">
        <f t="shared" si="52"/>
        <v>105.67996940132005</v>
      </c>
      <c r="J545">
        <f t="shared" si="53"/>
        <v>8.4543975521056041</v>
      </c>
    </row>
    <row r="546" spans="1:10" x14ac:dyDescent="0.2">
      <c r="A546" s="2"/>
      <c r="B546" s="2"/>
      <c r="C546" s="2">
        <v>8</v>
      </c>
      <c r="D546" s="2">
        <v>8</v>
      </c>
      <c r="E546">
        <f t="shared" si="49"/>
        <v>89.166666666666387</v>
      </c>
      <c r="F546">
        <f t="shared" si="48"/>
        <v>1.4861111111111065</v>
      </c>
      <c r="G546">
        <f t="shared" si="50"/>
        <v>270.36804040483787</v>
      </c>
      <c r="H546">
        <f t="shared" si="51"/>
        <v>255.92793069471742</v>
      </c>
      <c r="I546">
        <f t="shared" si="52"/>
        <v>105.6422562675839</v>
      </c>
      <c r="J546">
        <f t="shared" si="53"/>
        <v>8.451380501406712</v>
      </c>
    </row>
    <row r="547" spans="1:10" x14ac:dyDescent="0.2">
      <c r="A547" s="2"/>
      <c r="B547" s="2"/>
      <c r="C547" s="2">
        <v>8</v>
      </c>
      <c r="D547" s="2">
        <v>8</v>
      </c>
      <c r="E547">
        <f t="shared" si="49"/>
        <v>89.333333333333059</v>
      </c>
      <c r="F547">
        <f t="shared" si="48"/>
        <v>1.4888888888888843</v>
      </c>
      <c r="G547">
        <f t="shared" si="50"/>
        <v>270.28107003881382</v>
      </c>
      <c r="H547">
        <f t="shared" si="51"/>
        <v>255.92793069471742</v>
      </c>
      <c r="I547">
        <f t="shared" si="52"/>
        <v>105.60827390161549</v>
      </c>
      <c r="J547">
        <f t="shared" si="53"/>
        <v>8.4486619121292392</v>
      </c>
    </row>
    <row r="548" spans="1:10" x14ac:dyDescent="0.2">
      <c r="A548" s="2"/>
      <c r="B548" s="2"/>
      <c r="C548" s="2">
        <v>8</v>
      </c>
      <c r="D548" s="2">
        <v>8</v>
      </c>
      <c r="E548">
        <f t="shared" si="49"/>
        <v>89.499999999999716</v>
      </c>
      <c r="F548">
        <f t="shared" si="48"/>
        <v>1.491666666666662</v>
      </c>
      <c r="G548">
        <f t="shared" si="50"/>
        <v>270.20270320705413</v>
      </c>
      <c r="H548">
        <f t="shared" si="51"/>
        <v>255.92793069471742</v>
      </c>
      <c r="I548">
        <f t="shared" si="52"/>
        <v>105.57765323760786</v>
      </c>
      <c r="J548">
        <f t="shared" si="53"/>
        <v>8.4462122590086288</v>
      </c>
    </row>
    <row r="549" spans="1:10" x14ac:dyDescent="0.2">
      <c r="A549" s="2"/>
      <c r="B549" s="2"/>
      <c r="C549" s="2">
        <v>8</v>
      </c>
      <c r="D549" s="2">
        <v>8</v>
      </c>
      <c r="E549">
        <f t="shared" si="49"/>
        <v>89.666666666666387</v>
      </c>
      <c r="F549">
        <f t="shared" si="48"/>
        <v>1.4944444444444398</v>
      </c>
      <c r="G549">
        <f t="shared" si="50"/>
        <v>270.13208880584119</v>
      </c>
      <c r="H549">
        <f t="shared" si="51"/>
        <v>255.92793069471742</v>
      </c>
      <c r="I549">
        <f t="shared" si="52"/>
        <v>105.55006171954993</v>
      </c>
      <c r="J549">
        <f t="shared" si="53"/>
        <v>8.4440049375639941</v>
      </c>
    </row>
    <row r="550" spans="1:10" x14ac:dyDescent="0.2">
      <c r="A550" s="2"/>
      <c r="B550" s="2"/>
      <c r="C550" s="2">
        <v>8</v>
      </c>
      <c r="D550" s="2">
        <v>8</v>
      </c>
      <c r="E550">
        <f t="shared" si="49"/>
        <v>89.833333333333059</v>
      </c>
      <c r="F550">
        <f t="shared" si="48"/>
        <v>1.4972222222222176</v>
      </c>
      <c r="G550">
        <f t="shared" si="50"/>
        <v>270.0684599268028</v>
      </c>
      <c r="H550">
        <f t="shared" si="51"/>
        <v>255.92793069471742</v>
      </c>
      <c r="I550">
        <f t="shared" si="52"/>
        <v>105.52519968949885</v>
      </c>
      <c r="J550">
        <f t="shared" si="53"/>
        <v>8.442015975159908</v>
      </c>
    </row>
    <row r="551" spans="1:10" x14ac:dyDescent="0.2">
      <c r="A551" s="2"/>
      <c r="B551" s="2"/>
      <c r="C551" s="2">
        <v>8</v>
      </c>
      <c r="D551" s="2">
        <v>8</v>
      </c>
      <c r="E551">
        <f t="shared" si="49"/>
        <v>89.999999999999716</v>
      </c>
      <c r="F551">
        <f t="shared" si="48"/>
        <v>1.4999999999999953</v>
      </c>
      <c r="G551">
        <f t="shared" si="50"/>
        <v>270.01112552789635</v>
      </c>
      <c r="H551">
        <f t="shared" si="51"/>
        <v>255.92793069471742</v>
      </c>
      <c r="I551">
        <f t="shared" si="52"/>
        <v>105.50279713314214</v>
      </c>
      <c r="J551">
        <f t="shared" si="53"/>
        <v>8.4402237706513716</v>
      </c>
    </row>
    <row r="552" spans="1:10" x14ac:dyDescent="0.2">
      <c r="A552" s="2"/>
      <c r="B552" s="2"/>
      <c r="C552" s="2">
        <v>4</v>
      </c>
      <c r="D552" s="2">
        <v>4</v>
      </c>
      <c r="E552">
        <f t="shared" si="49"/>
        <v>90.166666666666387</v>
      </c>
      <c r="F552">
        <f t="shared" si="48"/>
        <v>1.5027777777777731</v>
      </c>
      <c r="G552">
        <f t="shared" si="50"/>
        <v>256.62988320465706</v>
      </c>
      <c r="H552">
        <f t="shared" si="51"/>
        <v>127.96396534735871</v>
      </c>
      <c r="I552">
        <f t="shared" si="52"/>
        <v>200.54855482794252</v>
      </c>
      <c r="J552">
        <f t="shared" si="53"/>
        <v>8.0219421931177006</v>
      </c>
    </row>
    <row r="553" spans="1:10" x14ac:dyDescent="0.2">
      <c r="A553" s="2"/>
      <c r="B553" s="2"/>
      <c r="C553" s="2">
        <v>4</v>
      </c>
      <c r="D553" s="2">
        <v>4</v>
      </c>
      <c r="E553">
        <f t="shared" si="49"/>
        <v>90.333333333333059</v>
      </c>
      <c r="F553">
        <f t="shared" si="48"/>
        <v>1.5055555555555509</v>
      </c>
      <c r="G553">
        <f t="shared" si="50"/>
        <v>244.57237886356202</v>
      </c>
      <c r="H553">
        <f t="shared" si="51"/>
        <v>127.96396534735871</v>
      </c>
      <c r="I553">
        <f t="shared" si="52"/>
        <v>191.12597691050703</v>
      </c>
      <c r="J553">
        <f t="shared" si="53"/>
        <v>7.6450390764202814</v>
      </c>
    </row>
    <row r="554" spans="1:10" x14ac:dyDescent="0.2">
      <c r="A554" s="2"/>
      <c r="B554" s="2"/>
      <c r="C554" s="2">
        <v>4</v>
      </c>
      <c r="D554" s="2">
        <v>4</v>
      </c>
      <c r="E554">
        <f t="shared" si="49"/>
        <v>90.499999999999716</v>
      </c>
      <c r="F554">
        <f t="shared" si="48"/>
        <v>1.5083333333333286</v>
      </c>
      <c r="G554">
        <f t="shared" si="50"/>
        <v>233.70766186467489</v>
      </c>
      <c r="H554">
        <f t="shared" si="51"/>
        <v>127.96396534735871</v>
      </c>
      <c r="I554">
        <f t="shared" si="52"/>
        <v>182.63552651738672</v>
      </c>
      <c r="J554">
        <f t="shared" si="53"/>
        <v>7.305421060695469</v>
      </c>
    </row>
    <row r="555" spans="1:10" x14ac:dyDescent="0.2">
      <c r="A555" s="2"/>
      <c r="B555" s="2"/>
      <c r="C555" s="2">
        <v>4</v>
      </c>
      <c r="D555" s="2">
        <v>4</v>
      </c>
      <c r="E555">
        <f t="shared" si="49"/>
        <v>90.666666666666387</v>
      </c>
      <c r="F555">
        <f t="shared" si="48"/>
        <v>1.5111111111111064</v>
      </c>
      <c r="G555">
        <f t="shared" si="50"/>
        <v>223.91773584627074</v>
      </c>
      <c r="H555">
        <f t="shared" si="51"/>
        <v>127.96396534735871</v>
      </c>
      <c r="I555">
        <f t="shared" si="52"/>
        <v>174.98499303178448</v>
      </c>
      <c r="J555">
        <f t="shared" si="53"/>
        <v>6.999399721271379</v>
      </c>
    </row>
    <row r="556" spans="1:10" x14ac:dyDescent="0.2">
      <c r="A556" s="2"/>
      <c r="B556" s="2"/>
      <c r="C556" s="2">
        <v>4</v>
      </c>
      <c r="D556" s="2">
        <v>4</v>
      </c>
      <c r="E556">
        <f t="shared" si="49"/>
        <v>90.833333333333044</v>
      </c>
      <c r="F556">
        <f t="shared" si="48"/>
        <v>1.5138888888888842</v>
      </c>
      <c r="G556">
        <f t="shared" si="50"/>
        <v>215.09627722423363</v>
      </c>
      <c r="H556">
        <f t="shared" si="51"/>
        <v>127.96396534735871</v>
      </c>
      <c r="I556">
        <f t="shared" si="52"/>
        <v>168.09128776242116</v>
      </c>
      <c r="J556">
        <f t="shared" si="53"/>
        <v>6.7236515104968468</v>
      </c>
    </row>
    <row r="557" spans="1:10" x14ac:dyDescent="0.2">
      <c r="A557" s="2"/>
      <c r="B557" s="2"/>
      <c r="C557" s="2">
        <v>4</v>
      </c>
      <c r="D557" s="2">
        <v>4</v>
      </c>
      <c r="E557">
        <f t="shared" si="49"/>
        <v>90.999999999999716</v>
      </c>
      <c r="F557">
        <f t="shared" si="48"/>
        <v>1.5166666666666619</v>
      </c>
      <c r="G557">
        <f t="shared" si="50"/>
        <v>207.14748046376553</v>
      </c>
      <c r="H557">
        <f t="shared" si="51"/>
        <v>127.96396534735871</v>
      </c>
      <c r="I557">
        <f t="shared" si="52"/>
        <v>161.87954155801819</v>
      </c>
      <c r="J557">
        <f t="shared" si="53"/>
        <v>6.4751816623207272</v>
      </c>
    </row>
    <row r="558" spans="1:10" x14ac:dyDescent="0.2">
      <c r="A558" s="2"/>
      <c r="B558" s="2"/>
      <c r="C558" s="2">
        <v>4</v>
      </c>
      <c r="D558" s="2">
        <v>4</v>
      </c>
      <c r="E558">
        <f t="shared" si="49"/>
        <v>91.166666666666387</v>
      </c>
      <c r="F558">
        <f t="shared" si="48"/>
        <v>1.5194444444444397</v>
      </c>
      <c r="G558">
        <f t="shared" si="50"/>
        <v>199.98501758246971</v>
      </c>
      <c r="H558">
        <f t="shared" si="51"/>
        <v>127.96396534735871</v>
      </c>
      <c r="I558">
        <f t="shared" si="52"/>
        <v>156.28229169017197</v>
      </c>
      <c r="J558">
        <f t="shared" si="53"/>
        <v>6.2512916676068793</v>
      </c>
    </row>
    <row r="559" spans="1:10" x14ac:dyDescent="0.2">
      <c r="A559" s="2"/>
      <c r="B559" s="2"/>
      <c r="C559" s="2">
        <v>4</v>
      </c>
      <c r="D559" s="2">
        <v>4</v>
      </c>
      <c r="E559">
        <f t="shared" si="49"/>
        <v>91.333333333333044</v>
      </c>
      <c r="F559">
        <f t="shared" si="48"/>
        <v>1.5222222222222175</v>
      </c>
      <c r="G559">
        <f t="shared" si="50"/>
        <v>193.53110058448124</v>
      </c>
      <c r="H559">
        <f t="shared" si="51"/>
        <v>127.96396534735871</v>
      </c>
      <c r="I559">
        <f t="shared" si="52"/>
        <v>151.23874917375392</v>
      </c>
      <c r="J559">
        <f t="shared" si="53"/>
        <v>6.0495499669501562</v>
      </c>
    </row>
    <row r="560" spans="1:10" x14ac:dyDescent="0.2">
      <c r="A560" s="2"/>
      <c r="B560" s="2"/>
      <c r="C560" s="2">
        <v>4</v>
      </c>
      <c r="D560" s="2">
        <v>4</v>
      </c>
      <c r="E560">
        <f t="shared" si="49"/>
        <v>91.499999999999716</v>
      </c>
      <c r="F560">
        <f t="shared" si="48"/>
        <v>1.5249999999999952</v>
      </c>
      <c r="G560">
        <f t="shared" si="50"/>
        <v>187.71563664320234</v>
      </c>
      <c r="H560">
        <f t="shared" si="51"/>
        <v>127.96396534735871</v>
      </c>
      <c r="I560">
        <f t="shared" si="52"/>
        <v>146.69413856756273</v>
      </c>
      <c r="J560">
        <f t="shared" si="53"/>
        <v>5.8677655427025091</v>
      </c>
    </row>
    <row r="561" spans="1:10" x14ac:dyDescent="0.2">
      <c r="A561" s="2"/>
      <c r="B561" s="2"/>
      <c r="C561" s="2">
        <v>4</v>
      </c>
      <c r="D561" s="2">
        <v>4</v>
      </c>
      <c r="E561">
        <f t="shared" si="49"/>
        <v>91.666666666666387</v>
      </c>
      <c r="F561">
        <f t="shared" ref="F561:F624" si="54">Tsamp+F560</f>
        <v>1.527777777777773</v>
      </c>
      <c r="G561">
        <f t="shared" si="50"/>
        <v>182.47546685749612</v>
      </c>
      <c r="H561">
        <f t="shared" si="51"/>
        <v>127.96396534735871</v>
      </c>
      <c r="I561">
        <f t="shared" si="52"/>
        <v>142.5991030851269</v>
      </c>
      <c r="J561">
        <f t="shared" si="53"/>
        <v>5.7039641234050755</v>
      </c>
    </row>
    <row r="562" spans="1:10" x14ac:dyDescent="0.2">
      <c r="A562" s="2"/>
      <c r="B562" s="2"/>
      <c r="C562" s="2">
        <v>4</v>
      </c>
      <c r="D562" s="2">
        <v>4</v>
      </c>
      <c r="E562">
        <f t="shared" si="49"/>
        <v>91.833333333333044</v>
      </c>
      <c r="F562">
        <f t="shared" si="54"/>
        <v>1.5305555555555508</v>
      </c>
      <c r="G562">
        <f t="shared" si="50"/>
        <v>177.75368031384338</v>
      </c>
      <c r="H562">
        <f t="shared" si="51"/>
        <v>127.96396534735871</v>
      </c>
      <c r="I562">
        <f t="shared" si="52"/>
        <v>138.90916855485861</v>
      </c>
      <c r="J562">
        <f t="shared" si="53"/>
        <v>5.5563667421943448</v>
      </c>
    </row>
    <row r="563" spans="1:10" x14ac:dyDescent="0.2">
      <c r="A563" s="2"/>
      <c r="B563" s="2"/>
      <c r="C563" s="2">
        <v>4</v>
      </c>
      <c r="D563" s="2">
        <v>4</v>
      </c>
      <c r="E563">
        <f t="shared" si="49"/>
        <v>91.999999999999716</v>
      </c>
      <c r="F563">
        <f t="shared" si="54"/>
        <v>1.5333333333333286</v>
      </c>
      <c r="G563">
        <f t="shared" si="50"/>
        <v>173.49899600482811</v>
      </c>
      <c r="H563">
        <f t="shared" si="51"/>
        <v>127.96396534735871</v>
      </c>
      <c r="I563">
        <f t="shared" si="52"/>
        <v>135.58426040789246</v>
      </c>
      <c r="J563">
        <f t="shared" si="53"/>
        <v>5.4233704163156986</v>
      </c>
    </row>
    <row r="564" spans="1:10" x14ac:dyDescent="0.2">
      <c r="A564" s="2"/>
      <c r="B564" s="2"/>
      <c r="C564" s="2">
        <v>4</v>
      </c>
      <c r="D564" s="2">
        <v>4</v>
      </c>
      <c r="E564">
        <f t="shared" si="49"/>
        <v>92.166666666666373</v>
      </c>
      <c r="F564">
        <f t="shared" si="54"/>
        <v>1.5361111111111063</v>
      </c>
      <c r="G564">
        <f t="shared" si="50"/>
        <v>169.66520589127146</v>
      </c>
      <c r="H564">
        <f t="shared" si="51"/>
        <v>127.96396534735871</v>
      </c>
      <c r="I564">
        <f t="shared" si="52"/>
        <v>132.58826844785136</v>
      </c>
      <c r="J564">
        <f t="shared" si="53"/>
        <v>5.3035307379140546</v>
      </c>
    </row>
    <row r="565" spans="1:10" x14ac:dyDescent="0.2">
      <c r="A565" s="2"/>
      <c r="B565" s="2"/>
      <c r="C565" s="2">
        <v>4</v>
      </c>
      <c r="D565" s="2">
        <v>4</v>
      </c>
      <c r="E565">
        <f t="shared" si="49"/>
        <v>92.333333333333044</v>
      </c>
      <c r="F565">
        <f t="shared" si="54"/>
        <v>1.5388888888888841</v>
      </c>
      <c r="G565">
        <f t="shared" si="50"/>
        <v>166.21067305938516</v>
      </c>
      <c r="H565">
        <f t="shared" si="51"/>
        <v>127.96396534735871</v>
      </c>
      <c r="I565">
        <f t="shared" si="52"/>
        <v>129.88865467571719</v>
      </c>
      <c r="J565">
        <f t="shared" si="53"/>
        <v>5.1955461870286879</v>
      </c>
    </row>
    <row r="566" spans="1:10" x14ac:dyDescent="0.2">
      <c r="A566" s="2"/>
      <c r="B566" s="2"/>
      <c r="C566" s="2">
        <v>4</v>
      </c>
      <c r="D566" s="2">
        <v>4</v>
      </c>
      <c r="E566">
        <f t="shared" si="49"/>
        <v>92.499999999999716</v>
      </c>
      <c r="F566">
        <f t="shared" si="54"/>
        <v>1.5416666666666619</v>
      </c>
      <c r="G566">
        <f t="shared" si="50"/>
        <v>163.09787952267553</v>
      </c>
      <c r="H566">
        <f t="shared" si="51"/>
        <v>127.96396534735871</v>
      </c>
      <c r="I566">
        <f t="shared" si="52"/>
        <v>127.45609991058473</v>
      </c>
      <c r="J566">
        <f t="shared" si="53"/>
        <v>5.0982439964233892</v>
      </c>
    </row>
    <row r="567" spans="1:10" x14ac:dyDescent="0.2">
      <c r="A567" s="2"/>
      <c r="B567" s="2"/>
      <c r="C567" s="2">
        <v>4</v>
      </c>
      <c r="D567" s="2">
        <v>4</v>
      </c>
      <c r="E567">
        <f t="shared" si="49"/>
        <v>92.666666666666373</v>
      </c>
      <c r="F567">
        <f t="shared" si="54"/>
        <v>1.5444444444444396</v>
      </c>
      <c r="G567">
        <f t="shared" si="50"/>
        <v>160.29301875749636</v>
      </c>
      <c r="H567">
        <f t="shared" si="51"/>
        <v>127.96396534735871</v>
      </c>
      <c r="I567">
        <f t="shared" si="52"/>
        <v>125.26418536842017</v>
      </c>
      <c r="J567">
        <f t="shared" si="53"/>
        <v>5.0105674147368067</v>
      </c>
    </row>
    <row r="568" spans="1:10" x14ac:dyDescent="0.2">
      <c r="A568" s="2"/>
      <c r="B568" s="2"/>
      <c r="C568" s="2">
        <v>4</v>
      </c>
      <c r="D568" s="2">
        <v>4</v>
      </c>
      <c r="E568">
        <f t="shared" si="49"/>
        <v>92.833333333333044</v>
      </c>
      <c r="F568">
        <f t="shared" si="54"/>
        <v>1.5472222222222174</v>
      </c>
      <c r="G568">
        <f t="shared" si="50"/>
        <v>157.76562854697903</v>
      </c>
      <c r="H568">
        <f t="shared" si="51"/>
        <v>127.96396534735871</v>
      </c>
      <c r="I568">
        <f t="shared" si="52"/>
        <v>123.28910574060721</v>
      </c>
      <c r="J568">
        <f t="shared" si="53"/>
        <v>4.9315642296242883</v>
      </c>
    </row>
    <row r="569" spans="1:10" x14ac:dyDescent="0.2">
      <c r="A569" s="2"/>
      <c r="B569" s="2"/>
      <c r="C569" s="2">
        <v>4</v>
      </c>
      <c r="D569" s="2">
        <v>4</v>
      </c>
      <c r="E569">
        <f t="shared" si="49"/>
        <v>92.999999999999716</v>
      </c>
      <c r="F569">
        <f t="shared" si="54"/>
        <v>1.5499999999999952</v>
      </c>
      <c r="G569">
        <f t="shared" si="50"/>
        <v>155.48826014583818</v>
      </c>
      <c r="H569">
        <f t="shared" si="51"/>
        <v>127.96396534735871</v>
      </c>
      <c r="I569">
        <f t="shared" si="52"/>
        <v>121.50941065616767</v>
      </c>
      <c r="J569">
        <f t="shared" si="53"/>
        <v>4.8603764262467068</v>
      </c>
    </row>
    <row r="570" spans="1:10" x14ac:dyDescent="0.2">
      <c r="A570" s="2"/>
      <c r="B570" s="2"/>
      <c r="C570" s="2">
        <v>4</v>
      </c>
      <c r="D570" s="2">
        <v>4</v>
      </c>
      <c r="E570">
        <f t="shared" si="49"/>
        <v>93.166666666666373</v>
      </c>
      <c r="F570">
        <f t="shared" si="54"/>
        <v>1.5527777777777729</v>
      </c>
      <c r="G570">
        <f t="shared" si="50"/>
        <v>153.43618017301387</v>
      </c>
      <c r="H570">
        <f t="shared" si="51"/>
        <v>127.96396534735871</v>
      </c>
      <c r="I570">
        <f t="shared" si="52"/>
        <v>119.90577171980465</v>
      </c>
      <c r="J570">
        <f t="shared" si="53"/>
        <v>4.7962308687921862</v>
      </c>
    </row>
    <row r="571" spans="1:10" x14ac:dyDescent="0.2">
      <c r="A571" s="2"/>
      <c r="B571" s="2"/>
      <c r="C571" s="2">
        <v>4</v>
      </c>
      <c r="D571" s="2">
        <v>4</v>
      </c>
      <c r="E571">
        <f t="shared" si="49"/>
        <v>93.333333333333044</v>
      </c>
      <c r="F571">
        <f t="shared" si="54"/>
        <v>1.5555555555555507</v>
      </c>
      <c r="G571">
        <f t="shared" si="50"/>
        <v>151.58710199455265</v>
      </c>
      <c r="H571">
        <f t="shared" si="51"/>
        <v>127.96396534735871</v>
      </c>
      <c r="I571">
        <f t="shared" si="52"/>
        <v>118.46077259568257</v>
      </c>
      <c r="J571">
        <f t="shared" si="53"/>
        <v>4.7384309038273029</v>
      </c>
    </row>
    <row r="572" spans="1:10" x14ac:dyDescent="0.2">
      <c r="A572" s="2"/>
      <c r="B572" s="2"/>
      <c r="C572" s="2">
        <v>4</v>
      </c>
      <c r="D572" s="2">
        <v>4</v>
      </c>
      <c r="E572">
        <f t="shared" si="49"/>
        <v>93.499999999999702</v>
      </c>
      <c r="F572">
        <f t="shared" si="54"/>
        <v>1.5583333333333285</v>
      </c>
      <c r="G572">
        <f t="shared" si="50"/>
        <v>149.92094367940879</v>
      </c>
      <c r="H572">
        <f t="shared" si="51"/>
        <v>127.96396534735871</v>
      </c>
      <c r="I572">
        <f t="shared" si="52"/>
        <v>117.15871985714712</v>
      </c>
      <c r="J572">
        <f t="shared" si="53"/>
        <v>4.6863487942858848</v>
      </c>
    </row>
    <row r="573" spans="1:10" x14ac:dyDescent="0.2">
      <c r="A573" s="2"/>
      <c r="B573" s="2"/>
      <c r="C573" s="2">
        <v>4</v>
      </c>
      <c r="D573" s="2">
        <v>4</v>
      </c>
      <c r="E573">
        <f t="shared" si="49"/>
        <v>93.666666666666373</v>
      </c>
      <c r="F573">
        <f t="shared" si="54"/>
        <v>1.5611111111111062</v>
      </c>
      <c r="G573">
        <f t="shared" si="50"/>
        <v>148.41960989944212</v>
      </c>
      <c r="H573">
        <f t="shared" si="51"/>
        <v>127.96396534735871</v>
      </c>
      <c r="I573">
        <f t="shared" si="52"/>
        <v>115.98547254811655</v>
      </c>
      <c r="J573">
        <f t="shared" si="53"/>
        <v>4.6394189019246621</v>
      </c>
    </row>
    <row r="574" spans="1:10" x14ac:dyDescent="0.2">
      <c r="A574" s="2"/>
      <c r="B574" s="2"/>
      <c r="C574" s="2">
        <v>4</v>
      </c>
      <c r="D574" s="2">
        <v>4</v>
      </c>
      <c r="E574">
        <f t="shared" si="49"/>
        <v>93.833333333333044</v>
      </c>
      <c r="F574">
        <f t="shared" si="54"/>
        <v>1.563888888888884</v>
      </c>
      <c r="G574">
        <f t="shared" si="50"/>
        <v>147.0667954049357</v>
      </c>
      <c r="H574">
        <f t="shared" si="51"/>
        <v>127.96396534735871</v>
      </c>
      <c r="I574">
        <f t="shared" si="52"/>
        <v>114.92828860509464</v>
      </c>
      <c r="J574">
        <f t="shared" si="53"/>
        <v>4.5971315442037852</v>
      </c>
    </row>
    <row r="575" spans="1:10" x14ac:dyDescent="0.2">
      <c r="A575" s="2"/>
      <c r="B575" s="2"/>
      <c r="C575" s="2">
        <v>4</v>
      </c>
      <c r="D575" s="2">
        <v>4</v>
      </c>
      <c r="E575">
        <f t="shared" si="49"/>
        <v>93.999999999999702</v>
      </c>
      <c r="F575">
        <f t="shared" si="54"/>
        <v>1.5666666666666618</v>
      </c>
      <c r="G575">
        <f t="shared" si="50"/>
        <v>145.84780794127704</v>
      </c>
      <c r="H575">
        <f t="shared" si="51"/>
        <v>127.96396534735871</v>
      </c>
      <c r="I575">
        <f t="shared" si="52"/>
        <v>113.97568647186931</v>
      </c>
      <c r="J575">
        <f t="shared" si="53"/>
        <v>4.5590274588747723</v>
      </c>
    </row>
    <row r="576" spans="1:10" x14ac:dyDescent="0.2">
      <c r="A576" s="2"/>
      <c r="B576" s="2"/>
      <c r="C576" s="2">
        <v>4</v>
      </c>
      <c r="D576" s="2">
        <v>4</v>
      </c>
      <c r="E576">
        <f t="shared" si="49"/>
        <v>94.166666666666373</v>
      </c>
      <c r="F576">
        <f t="shared" si="54"/>
        <v>1.5694444444444395</v>
      </c>
      <c r="G576">
        <f t="shared" si="50"/>
        <v>144.74940868358789</v>
      </c>
      <c r="H576">
        <f t="shared" si="51"/>
        <v>127.96396534735871</v>
      </c>
      <c r="I576">
        <f t="shared" si="52"/>
        <v>113.11732040396296</v>
      </c>
      <c r="J576">
        <f t="shared" si="53"/>
        <v>4.5246928161585185</v>
      </c>
    </row>
    <row r="577" spans="1:10" x14ac:dyDescent="0.2">
      <c r="A577" s="2"/>
      <c r="B577" s="2"/>
      <c r="C577" s="2">
        <v>4</v>
      </c>
      <c r="D577" s="2">
        <v>4</v>
      </c>
      <c r="E577">
        <f t="shared" si="49"/>
        <v>94.333333333333044</v>
      </c>
      <c r="F577">
        <f t="shared" si="54"/>
        <v>1.5722222222222173</v>
      </c>
      <c r="G577">
        <f t="shared" si="50"/>
        <v>143.75966845634144</v>
      </c>
      <c r="H577">
        <f t="shared" si="51"/>
        <v>127.96396534735871</v>
      </c>
      <c r="I577">
        <f t="shared" si="52"/>
        <v>112.34386810857669</v>
      </c>
      <c r="J577">
        <f t="shared" si="53"/>
        <v>4.4937547243430673</v>
      </c>
    </row>
    <row r="578" spans="1:10" x14ac:dyDescent="0.2">
      <c r="A578" s="2"/>
      <c r="B578" s="2"/>
      <c r="C578" s="2">
        <v>4</v>
      </c>
      <c r="D578" s="2">
        <v>4</v>
      </c>
      <c r="E578">
        <f t="shared" si="49"/>
        <v>94.499999999999702</v>
      </c>
      <c r="F578">
        <f t="shared" si="54"/>
        <v>1.5749999999999951</v>
      </c>
      <c r="G578">
        <f t="shared" si="50"/>
        <v>142.86783817643874</v>
      </c>
      <c r="H578">
        <f t="shared" si="51"/>
        <v>127.96396534735871</v>
      </c>
      <c r="I578">
        <f t="shared" si="52"/>
        <v>111.64692949974113</v>
      </c>
      <c r="J578">
        <f t="shared" si="53"/>
        <v>4.4658771799896453</v>
      </c>
    </row>
    <row r="579" spans="1:10" x14ac:dyDescent="0.2">
      <c r="A579" s="2"/>
      <c r="B579" s="2"/>
      <c r="C579" s="2">
        <v>4</v>
      </c>
      <c r="D579" s="2">
        <v>4</v>
      </c>
      <c r="E579">
        <f t="shared" si="49"/>
        <v>94.666666666666373</v>
      </c>
      <c r="F579">
        <f t="shared" si="54"/>
        <v>1.5777777777777728</v>
      </c>
      <c r="G579">
        <f t="shared" si="50"/>
        <v>142.06423211268998</v>
      </c>
      <c r="H579">
        <f t="shared" si="51"/>
        <v>127.96396534735871</v>
      </c>
      <c r="I579">
        <f t="shared" si="52"/>
        <v>111.01893546910337</v>
      </c>
      <c r="J579">
        <f t="shared" si="53"/>
        <v>4.440757418764135</v>
      </c>
    </row>
    <row r="580" spans="1:10" x14ac:dyDescent="0.2">
      <c r="A580" s="2"/>
      <c r="B580" s="2"/>
      <c r="C580" s="2">
        <v>4</v>
      </c>
      <c r="D580" s="2">
        <v>4</v>
      </c>
      <c r="E580">
        <f t="shared" si="49"/>
        <v>94.83333333333303</v>
      </c>
      <c r="F580">
        <f t="shared" si="54"/>
        <v>1.5805555555555506</v>
      </c>
      <c r="G580">
        <f t="shared" si="50"/>
        <v>141.34012269383928</v>
      </c>
      <c r="H580">
        <f t="shared" si="51"/>
        <v>127.96396534735871</v>
      </c>
      <c r="I580">
        <f t="shared" si="52"/>
        <v>110.45306568155414</v>
      </c>
      <c r="J580">
        <f t="shared" si="53"/>
        <v>4.4181226272621652</v>
      </c>
    </row>
    <row r="581" spans="1:10" x14ac:dyDescent="0.2">
      <c r="A581" s="2"/>
      <c r="B581" s="2"/>
      <c r="C581" s="2">
        <v>4</v>
      </c>
      <c r="D581" s="2">
        <v>4</v>
      </c>
      <c r="E581">
        <f t="shared" si="49"/>
        <v>94.999999999999702</v>
      </c>
      <c r="F581">
        <f t="shared" si="54"/>
        <v>1.5833333333333284</v>
      </c>
      <c r="G581">
        <f t="shared" si="50"/>
        <v>140.68764572269461</v>
      </c>
      <c r="H581">
        <f t="shared" si="51"/>
        <v>127.96396534735871</v>
      </c>
      <c r="I581">
        <f t="shared" si="52"/>
        <v>109.94317450291371</v>
      </c>
      <c r="J581">
        <f t="shared" si="53"/>
        <v>4.3977269801165484</v>
      </c>
    </row>
    <row r="582" spans="1:10" x14ac:dyDescent="0.2">
      <c r="A582" s="2"/>
      <c r="B582" s="2"/>
      <c r="C582" s="2">
        <v>4</v>
      </c>
      <c r="D582" s="2">
        <v>4</v>
      </c>
      <c r="E582">
        <f t="shared" si="49"/>
        <v>95.166666666666373</v>
      </c>
      <c r="F582">
        <f t="shared" si="54"/>
        <v>1.5861111111111061</v>
      </c>
      <c r="G582">
        <f t="shared" si="50"/>
        <v>140.09971496693973</v>
      </c>
      <c r="H582">
        <f t="shared" si="51"/>
        <v>127.96396534735871</v>
      </c>
      <c r="I582">
        <f t="shared" si="52"/>
        <v>109.48372425521393</v>
      </c>
      <c r="J582">
        <f t="shared" si="53"/>
        <v>4.3793489702085573</v>
      </c>
    </row>
    <row r="583" spans="1:10" x14ac:dyDescent="0.2">
      <c r="A583" s="2"/>
      <c r="B583" s="2"/>
      <c r="C583" s="2">
        <v>4</v>
      </c>
      <c r="D583" s="2">
        <v>4</v>
      </c>
      <c r="E583">
        <f t="shared" si="49"/>
        <v>95.33333333333303</v>
      </c>
      <c r="F583">
        <f t="shared" si="54"/>
        <v>1.5888888888888839</v>
      </c>
      <c r="G583">
        <f t="shared" si="50"/>
        <v>139.56994519904109</v>
      </c>
      <c r="H583">
        <f t="shared" si="51"/>
        <v>127.96396534735871</v>
      </c>
      <c r="I583">
        <f t="shared" si="52"/>
        <v>109.06972507469419</v>
      </c>
      <c r="J583">
        <f t="shared" si="53"/>
        <v>4.3627890029877676</v>
      </c>
    </row>
    <row r="584" spans="1:10" x14ac:dyDescent="0.2">
      <c r="A584" s="2"/>
      <c r="B584" s="2"/>
      <c r="C584" s="2">
        <v>4</v>
      </c>
      <c r="D584" s="2">
        <v>4</v>
      </c>
      <c r="E584">
        <f t="shared" si="49"/>
        <v>95.499999999999702</v>
      </c>
      <c r="F584">
        <f t="shared" si="54"/>
        <v>1.5916666666666617</v>
      </c>
      <c r="G584">
        <f t="shared" si="50"/>
        <v>139.09258284942388</v>
      </c>
      <c r="H584">
        <f t="shared" si="51"/>
        <v>127.96396534735871</v>
      </c>
      <c r="I584">
        <f t="shared" si="52"/>
        <v>108.69668071933883</v>
      </c>
      <c r="J584">
        <f t="shared" si="53"/>
        <v>4.3478672287735529</v>
      </c>
    </row>
    <row r="585" spans="1:10" x14ac:dyDescent="0.2">
      <c r="A585" s="2"/>
      <c r="B585" s="2"/>
      <c r="C585" s="2">
        <v>4</v>
      </c>
      <c r="D585" s="2">
        <v>4</v>
      </c>
      <c r="E585">
        <f t="shared" si="49"/>
        <v>95.666666666666373</v>
      </c>
      <c r="F585">
        <f t="shared" si="54"/>
        <v>1.5944444444444394</v>
      </c>
      <c r="G585">
        <f t="shared" si="50"/>
        <v>138.66244351977519</v>
      </c>
      <c r="H585">
        <f t="shared" si="51"/>
        <v>127.96396534735871</v>
      </c>
      <c r="I585">
        <f t="shared" si="52"/>
        <v>108.36053973739827</v>
      </c>
      <c r="J585">
        <f t="shared" si="53"/>
        <v>4.334421589495931</v>
      </c>
    </row>
    <row r="586" spans="1:10" x14ac:dyDescent="0.2">
      <c r="A586" s="2"/>
      <c r="B586" s="2"/>
      <c r="C586" s="2">
        <v>4</v>
      </c>
      <c r="D586" s="2">
        <v>4</v>
      </c>
      <c r="E586">
        <f t="shared" si="49"/>
        <v>95.83333333333303</v>
      </c>
      <c r="F586">
        <f t="shared" si="54"/>
        <v>1.5972222222222172</v>
      </c>
      <c r="G586">
        <f t="shared" si="50"/>
        <v>138.27485567783711</v>
      </c>
      <c r="H586">
        <f t="shared" si="51"/>
        <v>127.96396534735871</v>
      </c>
      <c r="I586">
        <f t="shared" si="52"/>
        <v>108.05765146655892</v>
      </c>
      <c r="J586">
        <f t="shared" si="53"/>
        <v>4.322306058662357</v>
      </c>
    </row>
    <row r="587" spans="1:10" x14ac:dyDescent="0.2">
      <c r="A587" s="2"/>
      <c r="B587" s="2"/>
      <c r="C587" s="2">
        <v>4</v>
      </c>
      <c r="D587" s="2">
        <v>4</v>
      </c>
      <c r="E587">
        <f t="shared" si="49"/>
        <v>95.999999999999702</v>
      </c>
      <c r="F587">
        <f t="shared" si="54"/>
        <v>1.599999999999995</v>
      </c>
      <c r="G587">
        <f t="shared" si="50"/>
        <v>137.92560992218648</v>
      </c>
      <c r="H587">
        <f t="shared" si="51"/>
        <v>127.96396534735871</v>
      </c>
      <c r="I587">
        <f t="shared" si="52"/>
        <v>107.78472638589062</v>
      </c>
      <c r="J587">
        <f t="shared" si="53"/>
        <v>4.3113890554356251</v>
      </c>
    </row>
    <row r="588" spans="1:10" x14ac:dyDescent="0.2">
      <c r="A588" s="2"/>
      <c r="B588" s="2"/>
      <c r="C588" s="2">
        <v>4</v>
      </c>
      <c r="D588" s="2">
        <v>4</v>
      </c>
      <c r="E588">
        <f t="shared" ref="E588:E651" si="55">F588*60</f>
        <v>96.166666666666359</v>
      </c>
      <c r="F588">
        <f t="shared" si="54"/>
        <v>1.6027777777777727</v>
      </c>
      <c r="G588">
        <f t="shared" ref="G588:G651" si="56">Tsamp*$D588*G$3/G$5+G$8*G587</f>
        <v>137.61091326599086</v>
      </c>
      <c r="H588">
        <f t="shared" ref="H588:H651" si="57">$D588*$G$3/$G$6</f>
        <v>127.96396534735871</v>
      </c>
      <c r="I588">
        <f t="shared" ref="I588:I651" si="58">G588/H588*100</f>
        <v>107.53880038997343</v>
      </c>
      <c r="J588">
        <f t="shared" si="53"/>
        <v>4.3015520155989373</v>
      </c>
    </row>
    <row r="589" spans="1:10" x14ac:dyDescent="0.2">
      <c r="A589" s="2"/>
      <c r="B589" s="2"/>
      <c r="C589" s="2">
        <v>4</v>
      </c>
      <c r="D589" s="2">
        <v>4</v>
      </c>
      <c r="E589">
        <f t="shared" si="55"/>
        <v>96.33333333333303</v>
      </c>
      <c r="F589">
        <f t="shared" si="54"/>
        <v>1.6055555555555505</v>
      </c>
      <c r="G589">
        <f t="shared" si="56"/>
        <v>137.32734794323926</v>
      </c>
      <c r="H589">
        <f t="shared" si="57"/>
        <v>127.96396534735871</v>
      </c>
      <c r="I589">
        <f t="shared" si="58"/>
        <v>107.31720259720274</v>
      </c>
      <c r="J589">
        <f t="shared" ref="J589:J652" si="59">($I589/100)*$D589</f>
        <v>4.2926881038881097</v>
      </c>
    </row>
    <row r="590" spans="1:10" x14ac:dyDescent="0.2">
      <c r="A590" s="2"/>
      <c r="B590" s="2"/>
      <c r="C590" s="2">
        <v>4</v>
      </c>
      <c r="D590" s="2">
        <v>4</v>
      </c>
      <c r="E590">
        <f t="shared" si="55"/>
        <v>96.499999999999702</v>
      </c>
      <c r="F590">
        <f t="shared" si="54"/>
        <v>1.6083333333333283</v>
      </c>
      <c r="G590">
        <f t="shared" si="56"/>
        <v>137.07183429006199</v>
      </c>
      <c r="H590">
        <f t="shared" si="57"/>
        <v>127.96396534735871</v>
      </c>
      <c r="I590">
        <f t="shared" si="58"/>
        <v>107.1175263426543</v>
      </c>
      <c r="J590">
        <f t="shared" si="59"/>
        <v>4.284701053706172</v>
      </c>
    </row>
    <row r="591" spans="1:10" x14ac:dyDescent="0.2">
      <c r="A591" s="2"/>
      <c r="B591" s="2"/>
      <c r="C591" s="2">
        <v>4</v>
      </c>
      <c r="D591" s="2">
        <v>4</v>
      </c>
      <c r="E591">
        <f t="shared" si="55"/>
        <v>96.666666666666359</v>
      </c>
      <c r="F591">
        <f t="shared" si="54"/>
        <v>1.6111111111111061</v>
      </c>
      <c r="G591">
        <f t="shared" si="56"/>
        <v>136.84159729801203</v>
      </c>
      <c r="H591">
        <f t="shared" si="57"/>
        <v>127.96396534735871</v>
      </c>
      <c r="I591">
        <f t="shared" si="58"/>
        <v>106.93760304047701</v>
      </c>
      <c r="J591">
        <f t="shared" si="59"/>
        <v>4.2775041216190806</v>
      </c>
    </row>
    <row r="592" spans="1:10" x14ac:dyDescent="0.2">
      <c r="A592" s="2"/>
      <c r="B592" s="2"/>
      <c r="C592" s="2">
        <v>4</v>
      </c>
      <c r="D592" s="2">
        <v>4</v>
      </c>
      <c r="E592">
        <f t="shared" si="55"/>
        <v>96.83333333333303</v>
      </c>
      <c r="F592">
        <f t="shared" si="54"/>
        <v>1.6138888888888838</v>
      </c>
      <c r="G592">
        <f t="shared" si="56"/>
        <v>136.63413647605967</v>
      </c>
      <c r="H592">
        <f t="shared" si="57"/>
        <v>127.96396534735871</v>
      </c>
      <c r="I592">
        <f t="shared" si="58"/>
        <v>106.77547863194592</v>
      </c>
      <c r="J592">
        <f t="shared" si="59"/>
        <v>4.2710191452778368</v>
      </c>
    </row>
    <row r="593" spans="1:10" x14ac:dyDescent="0.2">
      <c r="A593" s="2"/>
      <c r="B593" s="2"/>
      <c r="C593" s="2">
        <v>4</v>
      </c>
      <c r="D593" s="2">
        <v>4</v>
      </c>
      <c r="E593">
        <f t="shared" si="55"/>
        <v>96.999999999999702</v>
      </c>
      <c r="F593">
        <f t="shared" si="54"/>
        <v>1.6166666666666616</v>
      </c>
      <c r="G593">
        <f t="shared" si="56"/>
        <v>136.44719869398591</v>
      </c>
      <c r="H593">
        <f t="shared" si="57"/>
        <v>127.96396534735871</v>
      </c>
      <c r="I593">
        <f t="shared" si="58"/>
        <v>106.62939236338873</v>
      </c>
      <c r="J593">
        <f t="shared" si="59"/>
        <v>4.2651756945355492</v>
      </c>
    </row>
    <row r="594" spans="1:10" x14ac:dyDescent="0.2">
      <c r="A594" s="2"/>
      <c r="B594" s="2"/>
      <c r="C594" s="2">
        <v>4</v>
      </c>
      <c r="D594" s="2">
        <v>4</v>
      </c>
      <c r="E594">
        <f t="shared" si="55"/>
        <v>97.166666666666359</v>
      </c>
      <c r="F594">
        <f t="shared" si="54"/>
        <v>1.6194444444444394</v>
      </c>
      <c r="G594">
        <f t="shared" si="56"/>
        <v>136.2787537122405</v>
      </c>
      <c r="H594">
        <f t="shared" si="57"/>
        <v>127.96396534735871</v>
      </c>
      <c r="I594">
        <f t="shared" si="58"/>
        <v>106.49775766350416</v>
      </c>
      <c r="J594">
        <f t="shared" si="59"/>
        <v>4.2599103065401662</v>
      </c>
    </row>
    <row r="595" spans="1:10" x14ac:dyDescent="0.2">
      <c r="A595" s="2"/>
      <c r="B595" s="2"/>
      <c r="C595" s="2">
        <v>4</v>
      </c>
      <c r="D595" s="2">
        <v>4</v>
      </c>
      <c r="E595">
        <f t="shared" si="55"/>
        <v>97.33333333333303</v>
      </c>
      <c r="F595">
        <f t="shared" si="54"/>
        <v>1.6222222222222171</v>
      </c>
      <c r="G595">
        <f t="shared" si="56"/>
        <v>136.12697213250604</v>
      </c>
      <c r="H595">
        <f t="shared" si="57"/>
        <v>127.96396534735871</v>
      </c>
      <c r="I595">
        <f t="shared" si="58"/>
        <v>106.37914491238907</v>
      </c>
      <c r="J595">
        <f t="shared" si="59"/>
        <v>4.2551657964955627</v>
      </c>
    </row>
    <row r="596" spans="1:10" x14ac:dyDescent="0.2">
      <c r="A596" s="2"/>
      <c r="B596" s="2"/>
      <c r="C596" s="2">
        <v>4</v>
      </c>
      <c r="D596" s="2">
        <v>4</v>
      </c>
      <c r="E596">
        <f t="shared" si="55"/>
        <v>97.499999999999687</v>
      </c>
      <c r="F596">
        <f t="shared" si="54"/>
        <v>1.6249999999999949</v>
      </c>
      <c r="G596">
        <f t="shared" si="56"/>
        <v>135.99020552950026</v>
      </c>
      <c r="H596">
        <f t="shared" si="57"/>
        <v>127.96396534735871</v>
      </c>
      <c r="I596">
        <f t="shared" si="58"/>
        <v>106.27226591513812</v>
      </c>
      <c r="J596">
        <f t="shared" si="59"/>
        <v>4.2508906366055248</v>
      </c>
    </row>
    <row r="597" spans="1:10" x14ac:dyDescent="0.2">
      <c r="A597" s="2"/>
      <c r="B597" s="2"/>
      <c r="C597" s="2">
        <v>4</v>
      </c>
      <c r="D597" s="2">
        <v>4</v>
      </c>
      <c r="E597">
        <f t="shared" si="55"/>
        <v>97.666666666666359</v>
      </c>
      <c r="F597">
        <f t="shared" si="54"/>
        <v>1.6277777777777727</v>
      </c>
      <c r="G597">
        <f t="shared" si="56"/>
        <v>135.86696854823768</v>
      </c>
      <c r="H597">
        <f t="shared" si="57"/>
        <v>127.96396534735871</v>
      </c>
      <c r="I597">
        <f t="shared" si="58"/>
        <v>106.17595991139086</v>
      </c>
      <c r="J597">
        <f t="shared" si="59"/>
        <v>4.2470383964556344</v>
      </c>
    </row>
    <row r="598" spans="1:10" x14ac:dyDescent="0.2">
      <c r="A598" s="2"/>
      <c r="B598" s="2"/>
      <c r="C598" s="2">
        <v>4</v>
      </c>
      <c r="D598" s="2">
        <v>4</v>
      </c>
      <c r="E598">
        <f t="shared" si="55"/>
        <v>97.83333333333303</v>
      </c>
      <c r="F598">
        <f t="shared" si="54"/>
        <v>1.6305555555555504</v>
      </c>
      <c r="G598">
        <f t="shared" si="56"/>
        <v>135.75592277231772</v>
      </c>
      <c r="H598">
        <f t="shared" si="57"/>
        <v>127.96396534735871</v>
      </c>
      <c r="I598">
        <f t="shared" si="58"/>
        <v>106.08918096888269</v>
      </c>
      <c r="J598">
        <f t="shared" si="59"/>
        <v>4.2435672387553076</v>
      </c>
    </row>
    <row r="599" spans="1:10" x14ac:dyDescent="0.2">
      <c r="A599" s="2"/>
      <c r="B599" s="2"/>
      <c r="C599" s="2">
        <v>4</v>
      </c>
      <c r="D599" s="2">
        <v>4</v>
      </c>
      <c r="E599">
        <f t="shared" si="55"/>
        <v>97.999999999999687</v>
      </c>
      <c r="F599">
        <f t="shared" si="54"/>
        <v>1.6333333333333282</v>
      </c>
      <c r="G599">
        <f t="shared" si="56"/>
        <v>135.65586218804074</v>
      </c>
      <c r="H599">
        <f t="shared" si="57"/>
        <v>127.96396534735871</v>
      </c>
      <c r="I599">
        <f t="shared" si="58"/>
        <v>106.01098662408776</v>
      </c>
      <c r="J599">
        <f t="shared" si="59"/>
        <v>4.2404394649635107</v>
      </c>
    </row>
    <row r="600" spans="1:10" x14ac:dyDescent="0.2">
      <c r="A600" s="2"/>
      <c r="B600" s="2"/>
      <c r="C600" s="2">
        <v>4</v>
      </c>
      <c r="D600" s="2">
        <v>4</v>
      </c>
      <c r="E600">
        <f t="shared" si="55"/>
        <v>98.166666666666359</v>
      </c>
      <c r="F600">
        <f t="shared" si="54"/>
        <v>1.636111111111106</v>
      </c>
      <c r="G600">
        <f t="shared" si="56"/>
        <v>135.56570008648484</v>
      </c>
      <c r="H600">
        <f t="shared" si="57"/>
        <v>127.96396534735871</v>
      </c>
      <c r="I600">
        <f t="shared" si="58"/>
        <v>105.94052764658488</v>
      </c>
      <c r="J600">
        <f t="shared" si="59"/>
        <v>4.2376211058633952</v>
      </c>
    </row>
    <row r="601" spans="1:10" x14ac:dyDescent="0.2">
      <c r="A601" s="2"/>
      <c r="B601" s="2"/>
      <c r="C601" s="2">
        <v>4</v>
      </c>
      <c r="D601" s="2">
        <v>4</v>
      </c>
      <c r="E601">
        <f t="shared" si="55"/>
        <v>98.33333333333303</v>
      </c>
      <c r="F601">
        <f t="shared" si="54"/>
        <v>1.6388888888888837</v>
      </c>
      <c r="G601">
        <f t="shared" si="56"/>
        <v>135.4844572612933</v>
      </c>
      <c r="H601">
        <f t="shared" si="57"/>
        <v>127.96396534735871</v>
      </c>
      <c r="I601">
        <f t="shared" si="58"/>
        <v>105.87703881598244</v>
      </c>
      <c r="J601">
        <f t="shared" si="59"/>
        <v>4.235081552639298</v>
      </c>
    </row>
    <row r="602" spans="1:10" x14ac:dyDescent="0.2">
      <c r="A602" s="2"/>
      <c r="B602" s="2"/>
      <c r="C602" s="2">
        <v>4</v>
      </c>
      <c r="D602" s="2">
        <v>4</v>
      </c>
      <c r="E602">
        <f t="shared" si="55"/>
        <v>98.499999999999687</v>
      </c>
      <c r="F602">
        <f t="shared" si="54"/>
        <v>1.6416666666666615</v>
      </c>
      <c r="G602">
        <f t="shared" si="56"/>
        <v>135.41125137399473</v>
      </c>
      <c r="H602">
        <f t="shared" si="57"/>
        <v>127.96396534735871</v>
      </c>
      <c r="I602">
        <f t="shared" si="58"/>
        <v>105.81983061123523</v>
      </c>
      <c r="J602">
        <f t="shared" si="59"/>
        <v>4.2327932244494093</v>
      </c>
    </row>
    <row r="603" spans="1:10" x14ac:dyDescent="0.2">
      <c r="A603" s="2"/>
      <c r="B603" s="2"/>
      <c r="C603" s="2">
        <v>4</v>
      </c>
      <c r="D603" s="2">
        <v>4</v>
      </c>
      <c r="E603">
        <f t="shared" si="55"/>
        <v>98.666666666666359</v>
      </c>
      <c r="F603">
        <f t="shared" si="54"/>
        <v>1.6444444444444393</v>
      </c>
      <c r="G603">
        <f t="shared" si="56"/>
        <v>135.34528737135776</v>
      </c>
      <c r="H603">
        <f t="shared" si="57"/>
        <v>127.96396534735871</v>
      </c>
      <c r="I603">
        <f t="shared" si="58"/>
        <v>105.76828172209451</v>
      </c>
      <c r="J603">
        <f t="shared" si="59"/>
        <v>4.2307312688837806</v>
      </c>
    </row>
    <row r="604" spans="1:10" x14ac:dyDescent="0.2">
      <c r="A604" s="2"/>
      <c r="B604" s="2"/>
      <c r="C604" s="2">
        <v>4</v>
      </c>
      <c r="D604" s="2">
        <v>4</v>
      </c>
      <c r="E604">
        <f t="shared" si="55"/>
        <v>98.833333333333016</v>
      </c>
      <c r="F604">
        <f t="shared" si="54"/>
        <v>1.647222222222217</v>
      </c>
      <c r="G604">
        <f t="shared" si="56"/>
        <v>135.28584885070785</v>
      </c>
      <c r="H604">
        <f t="shared" si="57"/>
        <v>127.96396534735871</v>
      </c>
      <c r="I604">
        <f t="shared" si="58"/>
        <v>105.72183230136223</v>
      </c>
      <c r="J604">
        <f t="shared" si="59"/>
        <v>4.2288732920544891</v>
      </c>
    </row>
    <row r="605" spans="1:10" x14ac:dyDescent="0.2">
      <c r="A605" s="2"/>
      <c r="B605" s="2"/>
      <c r="C605" s="2">
        <v>4</v>
      </c>
      <c r="D605" s="2">
        <v>4</v>
      </c>
      <c r="E605">
        <f t="shared" si="55"/>
        <v>98.999999999999687</v>
      </c>
      <c r="F605">
        <f t="shared" si="54"/>
        <v>1.6499999999999948</v>
      </c>
      <c r="G605">
        <f t="shared" si="56"/>
        <v>135.23229027942932</v>
      </c>
      <c r="H605">
        <f t="shared" si="57"/>
        <v>127.96396534735871</v>
      </c>
      <c r="I605">
        <f t="shared" si="58"/>
        <v>105.67997788466519</v>
      </c>
      <c r="J605">
        <f t="shared" si="59"/>
        <v>4.2271991153866075</v>
      </c>
    </row>
    <row r="606" spans="1:10" x14ac:dyDescent="0.2">
      <c r="A606" s="2"/>
      <c r="B606" s="2"/>
      <c r="C606" s="2">
        <v>4</v>
      </c>
      <c r="D606" s="2">
        <v>4</v>
      </c>
      <c r="E606">
        <f t="shared" si="55"/>
        <v>99.166666666666359</v>
      </c>
      <c r="F606">
        <f t="shared" si="54"/>
        <v>1.6527777777777726</v>
      </c>
      <c r="G606">
        <f t="shared" si="56"/>
        <v>135.18402998415223</v>
      </c>
      <c r="H606">
        <f t="shared" si="57"/>
        <v>127.96396534735871</v>
      </c>
      <c r="I606">
        <f t="shared" si="58"/>
        <v>105.64226391171501</v>
      </c>
      <c r="J606">
        <f t="shared" si="59"/>
        <v>4.2256905564686003</v>
      </c>
    </row>
    <row r="607" spans="1:10" x14ac:dyDescent="0.2">
      <c r="A607" s="2"/>
      <c r="B607" s="2"/>
      <c r="C607" s="2">
        <v>4</v>
      </c>
      <c r="D607" s="2">
        <v>4</v>
      </c>
      <c r="E607">
        <f t="shared" si="55"/>
        <v>99.333333333333016</v>
      </c>
      <c r="F607">
        <f t="shared" si="54"/>
        <v>1.6555555555555503</v>
      </c>
      <c r="G607">
        <f t="shared" si="56"/>
        <v>135.14054383348329</v>
      </c>
      <c r="H607">
        <f t="shared" si="57"/>
        <v>127.96396534735871</v>
      </c>
      <c r="I607">
        <f t="shared" si="58"/>
        <v>105.60828078955176</v>
      </c>
      <c r="J607">
        <f t="shared" si="59"/>
        <v>4.2243312315820702</v>
      </c>
    </row>
    <row r="608" spans="1:10" x14ac:dyDescent="0.2">
      <c r="A608" s="2"/>
      <c r="B608" s="2"/>
      <c r="C608" s="2">
        <v>4</v>
      </c>
      <c r="D608" s="2">
        <v>4</v>
      </c>
      <c r="E608">
        <f t="shared" si="55"/>
        <v>99.499999999999687</v>
      </c>
      <c r="F608">
        <f t="shared" si="54"/>
        <v>1.6583333333333281</v>
      </c>
      <c r="G608">
        <f t="shared" si="56"/>
        <v>135.10135954567187</v>
      </c>
      <c r="H608">
        <f t="shared" si="57"/>
        <v>127.96396534735871</v>
      </c>
      <c r="I608">
        <f t="shared" si="58"/>
        <v>105.57765944415576</v>
      </c>
      <c r="J608">
        <f t="shared" si="59"/>
        <v>4.2231063777662303</v>
      </c>
    </row>
    <row r="609" spans="1:10" x14ac:dyDescent="0.2">
      <c r="A609" s="2"/>
      <c r="B609" s="2"/>
      <c r="C609" s="2">
        <v>4</v>
      </c>
      <c r="D609" s="2">
        <v>4</v>
      </c>
      <c r="E609">
        <f t="shared" si="55"/>
        <v>99.666666666666359</v>
      </c>
      <c r="F609">
        <f t="shared" si="54"/>
        <v>1.6611111111111059</v>
      </c>
      <c r="G609">
        <f t="shared" si="56"/>
        <v>135.06605155938956</v>
      </c>
      <c r="H609">
        <f t="shared" si="57"/>
        <v>127.96396534735871</v>
      </c>
      <c r="I609">
        <f t="shared" si="58"/>
        <v>105.55006731211574</v>
      </c>
      <c r="J609">
        <f t="shared" si="59"/>
        <v>4.2220026924846294</v>
      </c>
    </row>
    <row r="610" spans="1:10" x14ac:dyDescent="0.2">
      <c r="A610" s="2"/>
      <c r="B610" s="2"/>
      <c r="C610" s="2">
        <v>4</v>
      </c>
      <c r="D610" s="2">
        <v>4</v>
      </c>
      <c r="E610">
        <f t="shared" si="55"/>
        <v>99.833333333333016</v>
      </c>
      <c r="F610">
        <f t="shared" si="54"/>
        <v>1.6638888888888836</v>
      </c>
      <c r="G610">
        <f t="shared" si="56"/>
        <v>135.03423641191745</v>
      </c>
      <c r="H610">
        <f t="shared" si="57"/>
        <v>127.96396534735871</v>
      </c>
      <c r="I610">
        <f t="shared" si="58"/>
        <v>105.5252047288207</v>
      </c>
      <c r="J610">
        <f t="shared" si="59"/>
        <v>4.2210081891528279</v>
      </c>
    </row>
    <row r="611" spans="1:10" x14ac:dyDescent="0.2">
      <c r="A611" s="2"/>
      <c r="B611" s="2"/>
      <c r="C611" s="2">
        <v>4</v>
      </c>
      <c r="D611" s="2">
        <v>4</v>
      </c>
      <c r="E611">
        <f t="shared" si="55"/>
        <v>99.999999999999687</v>
      </c>
      <c r="F611">
        <f t="shared" si="54"/>
        <v>1.6666666666666614</v>
      </c>
      <c r="G611">
        <f t="shared" si="56"/>
        <v>135.00556857454546</v>
      </c>
      <c r="H611">
        <f t="shared" si="57"/>
        <v>127.96396534735871</v>
      </c>
      <c r="I611">
        <f t="shared" si="58"/>
        <v>105.50280167394961</v>
      </c>
      <c r="J611">
        <f t="shared" si="59"/>
        <v>4.2201120669579844</v>
      </c>
    </row>
    <row r="612" spans="1:10" x14ac:dyDescent="0.2">
      <c r="A612" s="2"/>
      <c r="B612" s="2"/>
      <c r="C612" s="2">
        <v>2</v>
      </c>
      <c r="D612" s="2">
        <v>2</v>
      </c>
      <c r="E612">
        <f t="shared" si="55"/>
        <v>100.16666666666634</v>
      </c>
      <c r="F612">
        <f t="shared" si="54"/>
        <v>1.6694444444444392</v>
      </c>
      <c r="G612">
        <f t="shared" si="56"/>
        <v>128.31494683811312</v>
      </c>
      <c r="H612">
        <f t="shared" si="57"/>
        <v>63.981982673679354</v>
      </c>
      <c r="I612">
        <f t="shared" si="58"/>
        <v>200.54856301115967</v>
      </c>
      <c r="J612">
        <f t="shared" si="59"/>
        <v>4.0109712602231937</v>
      </c>
    </row>
    <row r="613" spans="1:10" x14ac:dyDescent="0.2">
      <c r="A613" s="2"/>
      <c r="B613" s="2"/>
      <c r="C613" s="2">
        <v>2</v>
      </c>
      <c r="D613" s="2">
        <v>2</v>
      </c>
      <c r="E613">
        <f t="shared" si="55"/>
        <v>100.33333333333302</v>
      </c>
      <c r="F613">
        <f t="shared" si="54"/>
        <v>1.6722222222222169</v>
      </c>
      <c r="G613">
        <f t="shared" si="56"/>
        <v>122.28619414961615</v>
      </c>
      <c r="H613">
        <f t="shared" si="57"/>
        <v>63.981982673679354</v>
      </c>
      <c r="I613">
        <f t="shared" si="58"/>
        <v>191.12598428420029</v>
      </c>
      <c r="J613">
        <f t="shared" si="59"/>
        <v>3.8225196856840058</v>
      </c>
    </row>
    <row r="614" spans="1:10" x14ac:dyDescent="0.2">
      <c r="A614" s="2"/>
      <c r="B614" s="2"/>
      <c r="C614" s="2">
        <v>2</v>
      </c>
      <c r="D614" s="2">
        <v>2</v>
      </c>
      <c r="E614">
        <f t="shared" si="55"/>
        <v>100.49999999999969</v>
      </c>
      <c r="F614">
        <f t="shared" si="54"/>
        <v>1.6749999999999947</v>
      </c>
      <c r="G614">
        <f t="shared" si="56"/>
        <v>116.85383518346123</v>
      </c>
      <c r="H614">
        <f t="shared" si="57"/>
        <v>63.981982673679354</v>
      </c>
      <c r="I614">
        <f t="shared" si="58"/>
        <v>182.63553316163814</v>
      </c>
      <c r="J614">
        <f t="shared" si="59"/>
        <v>3.6527106632327628</v>
      </c>
    </row>
    <row r="615" spans="1:10" x14ac:dyDescent="0.2">
      <c r="A615" s="2"/>
      <c r="B615" s="2"/>
      <c r="C615" s="2">
        <v>2</v>
      </c>
      <c r="D615" s="2">
        <v>2</v>
      </c>
      <c r="E615">
        <f t="shared" si="55"/>
        <v>100.66666666666634</v>
      </c>
      <c r="F615">
        <f t="shared" si="54"/>
        <v>1.6777777777777725</v>
      </c>
      <c r="G615">
        <f t="shared" si="56"/>
        <v>111.95887175371719</v>
      </c>
      <c r="H615">
        <f t="shared" si="57"/>
        <v>63.981982673679354</v>
      </c>
      <c r="I615">
        <f t="shared" si="58"/>
        <v>174.98499901875402</v>
      </c>
      <c r="J615">
        <f t="shared" si="59"/>
        <v>3.4996999803750803</v>
      </c>
    </row>
    <row r="616" spans="1:10" x14ac:dyDescent="0.2">
      <c r="A616" s="2"/>
      <c r="B616" s="2"/>
      <c r="C616" s="2">
        <v>2</v>
      </c>
      <c r="D616" s="2">
        <v>2</v>
      </c>
      <c r="E616">
        <f t="shared" si="55"/>
        <v>100.83333333333302</v>
      </c>
      <c r="F616">
        <f t="shared" si="54"/>
        <v>1.6805555555555503</v>
      </c>
      <c r="G616">
        <f t="shared" si="56"/>
        <v>107.54814206375873</v>
      </c>
      <c r="H616">
        <f t="shared" si="57"/>
        <v>63.981982673679354</v>
      </c>
      <c r="I616">
        <f t="shared" si="58"/>
        <v>168.09129315713039</v>
      </c>
      <c r="J616">
        <f t="shared" si="59"/>
        <v>3.3618258631426077</v>
      </c>
    </row>
    <row r="617" spans="1:10" x14ac:dyDescent="0.2">
      <c r="A617" s="2"/>
      <c r="B617" s="2"/>
      <c r="C617" s="2">
        <v>2</v>
      </c>
      <c r="D617" s="2">
        <v>2</v>
      </c>
      <c r="E617">
        <f t="shared" si="55"/>
        <v>100.99999999999969</v>
      </c>
      <c r="F617">
        <f t="shared" si="54"/>
        <v>1.683333333333328</v>
      </c>
      <c r="G617">
        <f t="shared" si="56"/>
        <v>103.57374334207138</v>
      </c>
      <c r="H617">
        <f t="shared" si="57"/>
        <v>63.981982673679354</v>
      </c>
      <c r="I617">
        <f t="shared" si="58"/>
        <v>161.87954641905637</v>
      </c>
      <c r="J617">
        <f t="shared" si="59"/>
        <v>3.2375909283811275</v>
      </c>
    </row>
    <row r="618" spans="1:10" x14ac:dyDescent="0.2">
      <c r="A618" s="2"/>
      <c r="B618" s="2"/>
      <c r="C618" s="2">
        <v>2</v>
      </c>
      <c r="D618" s="2">
        <v>2</v>
      </c>
      <c r="E618">
        <f t="shared" si="55"/>
        <v>101.16666666666634</v>
      </c>
      <c r="F618">
        <f t="shared" si="54"/>
        <v>1.6861111111111058</v>
      </c>
      <c r="G618">
        <f t="shared" si="56"/>
        <v>99.992511593748389</v>
      </c>
      <c r="H618">
        <f t="shared" si="57"/>
        <v>63.981982673679354</v>
      </c>
      <c r="I618">
        <f t="shared" si="58"/>
        <v>156.28229607033245</v>
      </c>
      <c r="J618">
        <f t="shared" si="59"/>
        <v>3.1256459214066492</v>
      </c>
    </row>
    <row r="619" spans="1:10" x14ac:dyDescent="0.2">
      <c r="A619" s="2"/>
      <c r="B619" s="2"/>
      <c r="C619" s="2">
        <v>2</v>
      </c>
      <c r="D619" s="2">
        <v>2</v>
      </c>
      <c r="E619">
        <f t="shared" si="55"/>
        <v>101.33333333333302</v>
      </c>
      <c r="F619">
        <f t="shared" si="54"/>
        <v>1.6888888888888836</v>
      </c>
      <c r="G619">
        <f t="shared" si="56"/>
        <v>96.765552817515797</v>
      </c>
      <c r="H619">
        <f t="shared" si="57"/>
        <v>63.981982673679354</v>
      </c>
      <c r="I619">
        <f t="shared" si="58"/>
        <v>151.23875312060753</v>
      </c>
      <c r="J619">
        <f t="shared" si="59"/>
        <v>3.0247750624121506</v>
      </c>
    </row>
    <row r="620" spans="1:10" x14ac:dyDescent="0.2">
      <c r="A620" s="2"/>
      <c r="B620" s="2"/>
      <c r="C620" s="2">
        <v>2</v>
      </c>
      <c r="D620" s="2">
        <v>2</v>
      </c>
      <c r="E620">
        <f t="shared" si="55"/>
        <v>101.49999999999967</v>
      </c>
      <c r="F620">
        <f t="shared" si="54"/>
        <v>1.6916666666666613</v>
      </c>
      <c r="G620">
        <f t="shared" si="56"/>
        <v>93.857820597063778</v>
      </c>
      <c r="H620">
        <f t="shared" si="57"/>
        <v>63.981982673679354</v>
      </c>
      <c r="I620">
        <f t="shared" si="58"/>
        <v>146.69414212397427</v>
      </c>
      <c r="J620">
        <f t="shared" si="59"/>
        <v>2.9338828424794854</v>
      </c>
    </row>
    <row r="621" spans="1:10" x14ac:dyDescent="0.2">
      <c r="A621" s="2"/>
      <c r="B621" s="2"/>
      <c r="C621" s="2">
        <v>2</v>
      </c>
      <c r="D621" s="2">
        <v>2</v>
      </c>
      <c r="E621">
        <f t="shared" si="55"/>
        <v>101.66666666666634</v>
      </c>
      <c r="F621">
        <f t="shared" si="54"/>
        <v>1.6944444444444391</v>
      </c>
      <c r="G621">
        <f t="shared" si="56"/>
        <v>91.237735479110768</v>
      </c>
      <c r="H621">
        <f t="shared" si="57"/>
        <v>63.981982673679354</v>
      </c>
      <c r="I621">
        <f t="shared" si="58"/>
        <v>142.59910628972079</v>
      </c>
      <c r="J621">
        <f t="shared" si="59"/>
        <v>2.8519821257944158</v>
      </c>
    </row>
    <row r="622" spans="1:10" x14ac:dyDescent="0.2">
      <c r="A622" s="2"/>
      <c r="B622" s="2"/>
      <c r="C622" s="2">
        <v>2</v>
      </c>
      <c r="D622" s="2">
        <v>2</v>
      </c>
      <c r="E622">
        <f t="shared" si="55"/>
        <v>101.83333333333302</v>
      </c>
      <c r="F622">
        <f t="shared" si="54"/>
        <v>1.6972222222222169</v>
      </c>
      <c r="G622">
        <f t="shared" si="56"/>
        <v>88.87684200445247</v>
      </c>
      <c r="H622">
        <f t="shared" si="57"/>
        <v>63.981982673679354</v>
      </c>
      <c r="I622">
        <f t="shared" si="58"/>
        <v>138.90917144243838</v>
      </c>
      <c r="J622">
        <f t="shared" si="59"/>
        <v>2.7781834288487675</v>
      </c>
    </row>
    <row r="623" spans="1:10" x14ac:dyDescent="0.2">
      <c r="A623" s="2"/>
      <c r="B623" s="2"/>
      <c r="C623" s="2">
        <v>2</v>
      </c>
      <c r="D623" s="2">
        <v>2</v>
      </c>
      <c r="E623">
        <f t="shared" si="55"/>
        <v>101.99999999999967</v>
      </c>
      <c r="F623">
        <f t="shared" si="54"/>
        <v>1.6999999999999946</v>
      </c>
      <c r="G623">
        <f t="shared" si="56"/>
        <v>86.749499667178043</v>
      </c>
      <c r="H623">
        <f t="shared" si="57"/>
        <v>63.981982673679354</v>
      </c>
      <c r="I623">
        <f t="shared" si="58"/>
        <v>135.5842630098187</v>
      </c>
      <c r="J623">
        <f t="shared" si="59"/>
        <v>2.7116852601963739</v>
      </c>
    </row>
    <row r="624" spans="1:10" x14ac:dyDescent="0.2">
      <c r="A624" s="2"/>
      <c r="B624" s="2"/>
      <c r="C624" s="2">
        <v>2</v>
      </c>
      <c r="D624" s="2">
        <v>2</v>
      </c>
      <c r="E624">
        <f t="shared" si="55"/>
        <v>102.16666666666634</v>
      </c>
      <c r="F624">
        <f t="shared" si="54"/>
        <v>1.7027777777777724</v>
      </c>
      <c r="G624">
        <f t="shared" si="56"/>
        <v>84.832604445713116</v>
      </c>
      <c r="H624">
        <f t="shared" si="57"/>
        <v>63.981982673679354</v>
      </c>
      <c r="I624">
        <f t="shared" si="58"/>
        <v>132.5882707923823</v>
      </c>
      <c r="J624">
        <f t="shared" si="59"/>
        <v>2.6517654158476462</v>
      </c>
    </row>
    <row r="625" spans="1:10" x14ac:dyDescent="0.2">
      <c r="A625" s="2"/>
      <c r="B625" s="2"/>
      <c r="C625" s="2">
        <v>2</v>
      </c>
      <c r="D625" s="2">
        <v>2</v>
      </c>
      <c r="E625">
        <f t="shared" si="55"/>
        <v>102.33333333333302</v>
      </c>
      <c r="F625">
        <f t="shared" ref="F625:F688" si="60">Tsamp+F624</f>
        <v>1.7055555555555502</v>
      </c>
      <c r="G625">
        <f t="shared" si="56"/>
        <v>83.105337881374965</v>
      </c>
      <c r="H625">
        <f t="shared" si="57"/>
        <v>63.981982673679354</v>
      </c>
      <c r="I625">
        <f t="shared" si="58"/>
        <v>129.88865678831564</v>
      </c>
      <c r="J625">
        <f t="shared" si="59"/>
        <v>2.597773135766313</v>
      </c>
    </row>
    <row r="626" spans="1:10" x14ac:dyDescent="0.2">
      <c r="A626" s="2"/>
      <c r="B626" s="2"/>
      <c r="C626" s="2">
        <v>2</v>
      </c>
      <c r="D626" s="2">
        <v>2</v>
      </c>
      <c r="E626">
        <f t="shared" si="55"/>
        <v>102.49999999999967</v>
      </c>
      <c r="F626">
        <f t="shared" si="60"/>
        <v>1.7083333333333279</v>
      </c>
      <c r="G626">
        <f t="shared" si="56"/>
        <v>81.548940979305115</v>
      </c>
      <c r="H626">
        <f t="shared" si="57"/>
        <v>63.981982673679354</v>
      </c>
      <c r="I626">
        <f t="shared" si="58"/>
        <v>127.45610181419462</v>
      </c>
      <c r="J626">
        <f t="shared" si="59"/>
        <v>2.5491220362838924</v>
      </c>
    </row>
    <row r="627" spans="1:10" x14ac:dyDescent="0.2">
      <c r="A627" s="2"/>
      <c r="B627" s="2"/>
      <c r="C627" s="2">
        <v>2</v>
      </c>
      <c r="D627" s="2">
        <v>2</v>
      </c>
      <c r="E627">
        <f t="shared" si="55"/>
        <v>102.66666666666634</v>
      </c>
      <c r="F627">
        <f t="shared" si="60"/>
        <v>1.7111111111111057</v>
      </c>
      <c r="G627">
        <f t="shared" si="56"/>
        <v>80.146510476228244</v>
      </c>
      <c r="H627">
        <f t="shared" si="57"/>
        <v>63.981982673679354</v>
      </c>
      <c r="I627">
        <f t="shared" si="58"/>
        <v>125.26418708371565</v>
      </c>
      <c r="J627">
        <f t="shared" si="59"/>
        <v>2.505283741674313</v>
      </c>
    </row>
    <row r="628" spans="1:10" x14ac:dyDescent="0.2">
      <c r="A628" s="2"/>
      <c r="B628" s="2"/>
      <c r="C628" s="2">
        <v>2</v>
      </c>
      <c r="D628" s="2">
        <v>2</v>
      </c>
      <c r="E628">
        <f t="shared" si="55"/>
        <v>102.833333333333</v>
      </c>
      <c r="F628">
        <f t="shared" si="60"/>
        <v>1.7138888888888835</v>
      </c>
      <c r="G628">
        <f t="shared" si="56"/>
        <v>78.882815262401479</v>
      </c>
      <c r="H628">
        <f t="shared" si="57"/>
        <v>63.981982673679354</v>
      </c>
      <c r="I628">
        <f t="shared" si="58"/>
        <v>123.28910728621727</v>
      </c>
      <c r="J628">
        <f t="shared" si="59"/>
        <v>2.4657821457243454</v>
      </c>
    </row>
    <row r="629" spans="1:10" x14ac:dyDescent="0.2">
      <c r="A629" s="2"/>
      <c r="B629" s="2"/>
      <c r="C629" s="2">
        <v>2</v>
      </c>
      <c r="D629" s="2">
        <v>2</v>
      </c>
      <c r="E629">
        <f t="shared" si="55"/>
        <v>102.99999999999967</v>
      </c>
      <c r="F629">
        <f t="shared" si="60"/>
        <v>1.7166666666666612</v>
      </c>
      <c r="G629">
        <f t="shared" si="56"/>
        <v>77.744130964003048</v>
      </c>
      <c r="H629">
        <f t="shared" si="57"/>
        <v>63.981982673679354</v>
      </c>
      <c r="I629">
        <f t="shared" si="58"/>
        <v>121.50941204887842</v>
      </c>
      <c r="J629">
        <f t="shared" si="59"/>
        <v>2.4301882409775684</v>
      </c>
    </row>
    <row r="630" spans="1:10" x14ac:dyDescent="0.2">
      <c r="A630" s="2"/>
      <c r="B630" s="2"/>
      <c r="C630" s="2">
        <v>2</v>
      </c>
      <c r="D630" s="2">
        <v>2</v>
      </c>
      <c r="E630">
        <f t="shared" si="55"/>
        <v>103.16666666666634</v>
      </c>
      <c r="F630">
        <f t="shared" si="60"/>
        <v>1.719444444444439</v>
      </c>
      <c r="G630">
        <f t="shared" si="56"/>
        <v>76.718090889440504</v>
      </c>
      <c r="H630">
        <f t="shared" si="57"/>
        <v>63.981982673679354</v>
      </c>
      <c r="I630">
        <f t="shared" si="58"/>
        <v>119.90577297474165</v>
      </c>
      <c r="J630">
        <f t="shared" si="59"/>
        <v>2.3981154594948331</v>
      </c>
    </row>
    <row r="631" spans="1:10" x14ac:dyDescent="0.2">
      <c r="A631" s="2"/>
      <c r="B631" s="2"/>
      <c r="C631" s="2">
        <v>2</v>
      </c>
      <c r="D631" s="2">
        <v>2</v>
      </c>
      <c r="E631">
        <f t="shared" si="55"/>
        <v>103.333333333333</v>
      </c>
      <c r="F631">
        <f t="shared" si="60"/>
        <v>1.7222222222222168</v>
      </c>
      <c r="G631">
        <f t="shared" si="56"/>
        <v>75.793551720779774</v>
      </c>
      <c r="H631">
        <f t="shared" si="57"/>
        <v>63.981982673679354</v>
      </c>
      <c r="I631">
        <f t="shared" si="58"/>
        <v>118.46077372647505</v>
      </c>
      <c r="J631">
        <f t="shared" si="59"/>
        <v>2.3692154745295011</v>
      </c>
    </row>
    <row r="632" spans="1:10" x14ac:dyDescent="0.2">
      <c r="A632" s="2"/>
      <c r="B632" s="2"/>
      <c r="C632" s="2">
        <v>2</v>
      </c>
      <c r="D632" s="2">
        <v>2</v>
      </c>
      <c r="E632">
        <f t="shared" si="55"/>
        <v>103.49999999999967</v>
      </c>
      <c r="F632">
        <f t="shared" si="60"/>
        <v>1.7249999999999945</v>
      </c>
      <c r="G632">
        <f t="shared" si="56"/>
        <v>74.960472491635343</v>
      </c>
      <c r="H632">
        <f t="shared" si="57"/>
        <v>63.981982673679354</v>
      </c>
      <c r="I632">
        <f t="shared" si="58"/>
        <v>117.15872087607606</v>
      </c>
      <c r="J632">
        <f t="shared" si="59"/>
        <v>2.3431744175215212</v>
      </c>
    </row>
    <row r="633" spans="1:10" x14ac:dyDescent="0.2">
      <c r="A633" s="2"/>
      <c r="B633" s="2"/>
      <c r="C633" s="2">
        <v>2</v>
      </c>
      <c r="D633" s="2">
        <v>2</v>
      </c>
      <c r="E633">
        <f t="shared" si="55"/>
        <v>103.66666666666634</v>
      </c>
      <c r="F633">
        <f t="shared" si="60"/>
        <v>1.7277777777777723</v>
      </c>
      <c r="G633">
        <f t="shared" si="56"/>
        <v>74.209805537159809</v>
      </c>
      <c r="H633">
        <f t="shared" si="57"/>
        <v>63.981982673679354</v>
      </c>
      <c r="I633">
        <f t="shared" si="58"/>
        <v>115.98547346624808</v>
      </c>
      <c r="J633">
        <f t="shared" si="59"/>
        <v>2.3197094693249616</v>
      </c>
    </row>
    <row r="634" spans="1:10" x14ac:dyDescent="0.2">
      <c r="A634" s="2"/>
      <c r="B634" s="2"/>
      <c r="C634" s="2">
        <v>2</v>
      </c>
      <c r="D634" s="2">
        <v>2</v>
      </c>
      <c r="E634">
        <f t="shared" si="55"/>
        <v>103.833333333333</v>
      </c>
      <c r="F634">
        <f t="shared" si="60"/>
        <v>1.7305555555555501</v>
      </c>
      <c r="G634">
        <f t="shared" si="56"/>
        <v>73.533398231794294</v>
      </c>
      <c r="H634">
        <f t="shared" si="57"/>
        <v>63.981982673679354</v>
      </c>
      <c r="I634">
        <f t="shared" si="58"/>
        <v>114.92828943240011</v>
      </c>
      <c r="J634">
        <f t="shared" si="59"/>
        <v>2.298565788648002</v>
      </c>
    </row>
    <row r="635" spans="1:10" x14ac:dyDescent="0.2">
      <c r="A635" s="2"/>
      <c r="B635" s="2"/>
      <c r="C635" s="2">
        <v>2</v>
      </c>
      <c r="D635" s="2">
        <v>2</v>
      </c>
      <c r="E635">
        <f t="shared" si="55"/>
        <v>103.99999999999967</v>
      </c>
      <c r="F635">
        <f t="shared" si="60"/>
        <v>1.7333333333333278</v>
      </c>
      <c r="G635">
        <f t="shared" si="56"/>
        <v>72.923904447601402</v>
      </c>
      <c r="H635">
        <f t="shared" si="57"/>
        <v>63.981982673679354</v>
      </c>
      <c r="I635">
        <f t="shared" si="58"/>
        <v>113.97568721733367</v>
      </c>
      <c r="J635">
        <f t="shared" si="59"/>
        <v>2.2795137443466733</v>
      </c>
    </row>
    <row r="636" spans="1:10" x14ac:dyDescent="0.2">
      <c r="A636" s="2"/>
      <c r="B636" s="2"/>
      <c r="C636" s="2">
        <v>2</v>
      </c>
      <c r="D636" s="2">
        <v>2</v>
      </c>
      <c r="E636">
        <f t="shared" si="55"/>
        <v>104.16666666666633</v>
      </c>
      <c r="F636">
        <f t="shared" si="60"/>
        <v>1.7361111111111056</v>
      </c>
      <c r="G636">
        <f t="shared" si="56"/>
        <v>72.37470477157332</v>
      </c>
      <c r="H636">
        <f t="shared" si="57"/>
        <v>63.981982673679354</v>
      </c>
      <c r="I636">
        <f t="shared" si="58"/>
        <v>113.11732107568233</v>
      </c>
      <c r="J636">
        <f t="shared" si="59"/>
        <v>2.2623464215136466</v>
      </c>
    </row>
    <row r="637" spans="1:10" x14ac:dyDescent="0.2">
      <c r="A637" s="2"/>
      <c r="B637" s="2"/>
      <c r="C637" s="2">
        <v>2</v>
      </c>
      <c r="D637" s="2">
        <v>2</v>
      </c>
      <c r="E637">
        <f t="shared" si="55"/>
        <v>104.333333333333</v>
      </c>
      <c r="F637">
        <f t="shared" si="60"/>
        <v>1.7388888888888834</v>
      </c>
      <c r="G637">
        <f t="shared" si="56"/>
        <v>71.87983461543422</v>
      </c>
      <c r="H637">
        <f t="shared" si="57"/>
        <v>63.981982673679354</v>
      </c>
      <c r="I637">
        <f t="shared" si="58"/>
        <v>112.34386871384629</v>
      </c>
      <c r="J637">
        <f t="shared" si="59"/>
        <v>2.2468773742769259</v>
      </c>
    </row>
    <row r="638" spans="1:10" x14ac:dyDescent="0.2">
      <c r="A638" s="2"/>
      <c r="B638" s="2"/>
      <c r="C638" s="2">
        <v>2</v>
      </c>
      <c r="D638" s="2">
        <v>2</v>
      </c>
      <c r="E638">
        <f t="shared" si="55"/>
        <v>104.49999999999967</v>
      </c>
      <c r="F638">
        <f t="shared" si="60"/>
        <v>1.7416666666666611</v>
      </c>
      <c r="G638">
        <f t="shared" si="56"/>
        <v>71.433919437172875</v>
      </c>
      <c r="H638">
        <f t="shared" si="57"/>
        <v>63.981982673679354</v>
      </c>
      <c r="I638">
        <f t="shared" si="58"/>
        <v>111.64693004513451</v>
      </c>
      <c r="J638">
        <f t="shared" si="59"/>
        <v>2.2329386009026901</v>
      </c>
    </row>
    <row r="639" spans="1:10" x14ac:dyDescent="0.2">
      <c r="A639" s="2"/>
      <c r="B639" s="2"/>
      <c r="C639" s="2">
        <v>2</v>
      </c>
      <c r="D639" s="2">
        <v>2</v>
      </c>
      <c r="E639">
        <f t="shared" si="55"/>
        <v>104.66666666666633</v>
      </c>
      <c r="F639">
        <f t="shared" si="60"/>
        <v>1.7444444444444389</v>
      </c>
      <c r="G639">
        <f t="shared" si="56"/>
        <v>71.032116370778297</v>
      </c>
      <c r="H639">
        <f t="shared" si="57"/>
        <v>63.981982673679354</v>
      </c>
      <c r="I639">
        <f t="shared" si="58"/>
        <v>111.01893596054377</v>
      </c>
      <c r="J639">
        <f t="shared" si="59"/>
        <v>2.2203787192108755</v>
      </c>
    </row>
    <row r="640" spans="1:10" x14ac:dyDescent="0.2">
      <c r="A640" s="2"/>
      <c r="B640" s="2"/>
      <c r="C640" s="2">
        <v>2</v>
      </c>
      <c r="D640" s="2">
        <v>2</v>
      </c>
      <c r="E640">
        <f t="shared" si="55"/>
        <v>104.833333333333</v>
      </c>
      <c r="F640">
        <f t="shared" si="60"/>
        <v>1.7472222222222167</v>
      </c>
      <c r="G640">
        <f t="shared" si="56"/>
        <v>70.670061630247673</v>
      </c>
      <c r="H640">
        <f t="shared" si="57"/>
        <v>63.981982673679354</v>
      </c>
      <c r="I640">
        <f t="shared" si="58"/>
        <v>110.45306612437884</v>
      </c>
      <c r="J640">
        <f t="shared" si="59"/>
        <v>2.2090613224875768</v>
      </c>
    </row>
    <row r="641" spans="1:10" x14ac:dyDescent="0.2">
      <c r="A641" s="2"/>
      <c r="B641" s="2"/>
      <c r="C641" s="2">
        <v>2</v>
      </c>
      <c r="D641" s="2">
        <v>2</v>
      </c>
      <c r="E641">
        <f t="shared" si="55"/>
        <v>104.99999999999967</v>
      </c>
      <c r="F641">
        <f t="shared" si="60"/>
        <v>1.7499999999999944</v>
      </c>
      <c r="G641">
        <f t="shared" si="56"/>
        <v>70.343823116647144</v>
      </c>
      <c r="H641">
        <f t="shared" si="57"/>
        <v>63.981982673679354</v>
      </c>
      <c r="I641">
        <f t="shared" si="58"/>
        <v>109.94317490193204</v>
      </c>
      <c r="J641">
        <f t="shared" si="59"/>
        <v>2.1988634980386408</v>
      </c>
    </row>
    <row r="642" spans="1:10" x14ac:dyDescent="0.2">
      <c r="A642" s="2"/>
      <c r="B642" s="2"/>
      <c r="C642" s="2">
        <v>2</v>
      </c>
      <c r="D642" s="2">
        <v>2</v>
      </c>
      <c r="E642">
        <f t="shared" si="55"/>
        <v>105.16666666666633</v>
      </c>
      <c r="F642">
        <f t="shared" si="60"/>
        <v>1.7527777777777722</v>
      </c>
      <c r="G642">
        <f t="shared" si="56"/>
        <v>70.049857713514186</v>
      </c>
      <c r="H642">
        <f t="shared" si="57"/>
        <v>63.981982673679354</v>
      </c>
      <c r="I642">
        <f t="shared" si="58"/>
        <v>109.48372461475941</v>
      </c>
      <c r="J642">
        <f t="shared" si="59"/>
        <v>2.1896744922951883</v>
      </c>
    </row>
    <row r="643" spans="1:10" x14ac:dyDescent="0.2">
      <c r="A643" s="2"/>
      <c r="B643" s="2"/>
      <c r="C643" s="2">
        <v>2</v>
      </c>
      <c r="D643" s="2">
        <v>2</v>
      </c>
      <c r="E643">
        <f t="shared" si="55"/>
        <v>105.333333333333</v>
      </c>
      <c r="F643">
        <f t="shared" si="60"/>
        <v>1.75555555555555</v>
      </c>
      <c r="G643">
        <f t="shared" si="56"/>
        <v>69.784972806807758</v>
      </c>
      <c r="H643">
        <f t="shared" si="57"/>
        <v>63.981982673679354</v>
      </c>
      <c r="I643">
        <f t="shared" si="58"/>
        <v>109.06972539867168</v>
      </c>
      <c r="J643">
        <f t="shared" si="59"/>
        <v>2.1813945079734336</v>
      </c>
    </row>
    <row r="644" spans="1:10" x14ac:dyDescent="0.2">
      <c r="A644" s="2"/>
      <c r="B644" s="2"/>
      <c r="C644" s="2">
        <v>2</v>
      </c>
      <c r="D644" s="2">
        <v>2</v>
      </c>
      <c r="E644">
        <f t="shared" si="55"/>
        <v>105.49999999999966</v>
      </c>
      <c r="F644">
        <f t="shared" si="60"/>
        <v>1.7583333333333278</v>
      </c>
      <c r="G644">
        <f t="shared" si="56"/>
        <v>69.546291611493288</v>
      </c>
      <c r="H644">
        <f t="shared" si="57"/>
        <v>63.981982673679354</v>
      </c>
      <c r="I644">
        <f t="shared" si="58"/>
        <v>108.69668101126689</v>
      </c>
      <c r="J644">
        <f t="shared" si="59"/>
        <v>2.1739336202253376</v>
      </c>
    </row>
    <row r="645" spans="1:10" x14ac:dyDescent="0.2">
      <c r="A645" s="2"/>
      <c r="B645" s="2"/>
      <c r="C645" s="2">
        <v>2</v>
      </c>
      <c r="D645" s="2">
        <v>2</v>
      </c>
      <c r="E645">
        <f t="shared" si="55"/>
        <v>105.66666666666633</v>
      </c>
      <c r="F645">
        <f t="shared" si="60"/>
        <v>1.7611111111111055</v>
      </c>
      <c r="G645">
        <f t="shared" si="56"/>
        <v>69.331221928191624</v>
      </c>
      <c r="H645">
        <f t="shared" si="57"/>
        <v>63.981982673679354</v>
      </c>
      <c r="I645">
        <f t="shared" si="58"/>
        <v>108.36054000044737</v>
      </c>
      <c r="J645">
        <f t="shared" si="59"/>
        <v>2.1672108000089474</v>
      </c>
    </row>
    <row r="646" spans="1:10" x14ac:dyDescent="0.2">
      <c r="A646" s="2"/>
      <c r="B646" s="2"/>
      <c r="C646" s="2">
        <v>2</v>
      </c>
      <c r="D646" s="2">
        <v>2</v>
      </c>
      <c r="E646">
        <f t="shared" si="55"/>
        <v>105.833333333333</v>
      </c>
      <c r="F646">
        <f t="shared" si="60"/>
        <v>1.7638888888888833</v>
      </c>
      <c r="G646">
        <f t="shared" si="56"/>
        <v>69.13742799057313</v>
      </c>
      <c r="H646">
        <f t="shared" si="57"/>
        <v>63.981982673679354</v>
      </c>
      <c r="I646">
        <f t="shared" si="58"/>
        <v>108.05765170358592</v>
      </c>
      <c r="J646">
        <f t="shared" si="59"/>
        <v>2.1611530340717184</v>
      </c>
    </row>
    <row r="647" spans="1:10" x14ac:dyDescent="0.2">
      <c r="A647" s="2"/>
      <c r="B647" s="2"/>
      <c r="C647" s="2">
        <v>2</v>
      </c>
      <c r="D647" s="2">
        <v>2</v>
      </c>
      <c r="E647">
        <f t="shared" si="55"/>
        <v>105.99999999999966</v>
      </c>
      <c r="F647">
        <f t="shared" si="60"/>
        <v>1.7666666666666611</v>
      </c>
      <c r="G647">
        <f t="shared" si="56"/>
        <v>68.962805097745402</v>
      </c>
      <c r="H647">
        <f t="shared" si="57"/>
        <v>63.981982673679354</v>
      </c>
      <c r="I647">
        <f t="shared" si="58"/>
        <v>107.78472659946976</v>
      </c>
      <c r="J647">
        <f t="shared" si="59"/>
        <v>2.1556945319893952</v>
      </c>
    </row>
    <row r="648" spans="1:10" x14ac:dyDescent="0.2">
      <c r="A648" s="2"/>
      <c r="B648" s="2"/>
      <c r="C648" s="2">
        <v>2</v>
      </c>
      <c r="D648" s="2">
        <v>2</v>
      </c>
      <c r="E648">
        <f t="shared" si="55"/>
        <v>106.16666666666633</v>
      </c>
      <c r="F648">
        <f t="shared" si="60"/>
        <v>1.7694444444444388</v>
      </c>
      <c r="G648">
        <f t="shared" si="56"/>
        <v>68.805456756129303</v>
      </c>
      <c r="H648">
        <f t="shared" si="57"/>
        <v>63.981982673679354</v>
      </c>
      <c r="I648">
        <f t="shared" si="58"/>
        <v>107.53880058242429</v>
      </c>
      <c r="J648">
        <f t="shared" si="59"/>
        <v>2.1507760116484858</v>
      </c>
    </row>
    <row r="649" spans="1:10" x14ac:dyDescent="0.2">
      <c r="A649" s="2"/>
      <c r="B649" s="2"/>
      <c r="C649" s="2">
        <v>2</v>
      </c>
      <c r="D649" s="2">
        <v>2</v>
      </c>
      <c r="E649">
        <f t="shared" si="55"/>
        <v>106.333333333333</v>
      </c>
      <c r="F649">
        <f t="shared" si="60"/>
        <v>1.7722222222222166</v>
      </c>
      <c r="G649">
        <f t="shared" si="56"/>
        <v>68.663674082572498</v>
      </c>
      <c r="H649">
        <f t="shared" si="57"/>
        <v>63.981982673679354</v>
      </c>
      <c r="I649">
        <f t="shared" si="58"/>
        <v>107.31720277061542</v>
      </c>
      <c r="J649">
        <f t="shared" si="59"/>
        <v>2.1463440554123085</v>
      </c>
    </row>
    <row r="650" spans="1:10" x14ac:dyDescent="0.2">
      <c r="A650" s="2"/>
      <c r="B650" s="2"/>
      <c r="C650" s="2">
        <v>2</v>
      </c>
      <c r="D650" s="2">
        <v>2</v>
      </c>
      <c r="E650">
        <f t="shared" si="55"/>
        <v>106.49999999999966</v>
      </c>
      <c r="F650">
        <f t="shared" si="60"/>
        <v>1.7749999999999944</v>
      </c>
      <c r="G650">
        <f t="shared" si="56"/>
        <v>68.535917245007852</v>
      </c>
      <c r="H650">
        <f t="shared" si="57"/>
        <v>63.981982673679354</v>
      </c>
      <c r="I650">
        <f t="shared" si="58"/>
        <v>107.11752649891213</v>
      </c>
      <c r="J650">
        <f t="shared" si="59"/>
        <v>2.1423505299782426</v>
      </c>
    </row>
    <row r="651" spans="1:10" x14ac:dyDescent="0.2">
      <c r="A651" s="2"/>
      <c r="B651" s="2"/>
      <c r="C651" s="2">
        <v>2</v>
      </c>
      <c r="D651" s="2">
        <v>2</v>
      </c>
      <c r="E651">
        <f t="shared" si="55"/>
        <v>106.66666666666633</v>
      </c>
      <c r="F651">
        <f t="shared" si="60"/>
        <v>1.7777777777777721</v>
      </c>
      <c r="G651">
        <f t="shared" si="56"/>
        <v>68.420798739092675</v>
      </c>
      <c r="H651">
        <f t="shared" si="57"/>
        <v>63.981982673679354</v>
      </c>
      <c r="I651">
        <f t="shared" si="58"/>
        <v>106.93760318127707</v>
      </c>
      <c r="J651">
        <f t="shared" si="59"/>
        <v>2.1387520636255415</v>
      </c>
    </row>
    <row r="652" spans="1:10" x14ac:dyDescent="0.2">
      <c r="A652" s="2"/>
      <c r="B652" s="2"/>
      <c r="C652" s="2">
        <v>2</v>
      </c>
      <c r="D652" s="2">
        <v>2</v>
      </c>
      <c r="E652">
        <f t="shared" ref="E652:E715" si="61">F652*60</f>
        <v>106.83333333333299</v>
      </c>
      <c r="F652">
        <f t="shared" si="60"/>
        <v>1.7805555555555499</v>
      </c>
      <c r="G652">
        <f t="shared" ref="G652:G715" si="62">Tsamp*$D652*G$3/G$5+G$8*G651</f>
        <v>68.317068319204679</v>
      </c>
      <c r="H652">
        <f t="shared" ref="H652:H715" si="63">$D652*$G$3/$G$6</f>
        <v>63.981982673679354</v>
      </c>
      <c r="I652">
        <f t="shared" ref="I652:I715" si="64">G652/H652*100</f>
        <v>106.77547875881731</v>
      </c>
      <c r="J652">
        <f t="shared" si="59"/>
        <v>2.1355095751763464</v>
      </c>
    </row>
    <row r="653" spans="1:10" x14ac:dyDescent="0.2">
      <c r="A653" s="2"/>
      <c r="B653" s="2"/>
      <c r="C653" s="2">
        <v>2</v>
      </c>
      <c r="D653" s="2">
        <v>2</v>
      </c>
      <c r="E653">
        <f t="shared" si="61"/>
        <v>106.99999999999966</v>
      </c>
      <c r="F653">
        <f t="shared" si="60"/>
        <v>1.7833333333333277</v>
      </c>
      <c r="G653">
        <f t="shared" si="62"/>
        <v>68.223599420137589</v>
      </c>
      <c r="H653">
        <f t="shared" si="63"/>
        <v>63.981982673679354</v>
      </c>
      <c r="I653">
        <f t="shared" si="64"/>
        <v>106.62939247770939</v>
      </c>
      <c r="J653">
        <f t="shared" ref="J653:J716" si="65">($I653/100)*$D653</f>
        <v>2.1325878495541879</v>
      </c>
    </row>
    <row r="654" spans="1:10" x14ac:dyDescent="0.2">
      <c r="A654" s="2"/>
      <c r="B654" s="2"/>
      <c r="C654" s="2">
        <v>2</v>
      </c>
      <c r="D654" s="2">
        <v>2</v>
      </c>
      <c r="E654">
        <f t="shared" si="61"/>
        <v>107.16666666666633</v>
      </c>
      <c r="F654">
        <f t="shared" si="60"/>
        <v>1.7861111111111054</v>
      </c>
      <c r="G654">
        <f t="shared" si="62"/>
        <v>68.139376922029058</v>
      </c>
      <c r="H654">
        <f t="shared" si="63"/>
        <v>63.981982673679354</v>
      </c>
      <c r="I654">
        <f t="shared" si="64"/>
        <v>106.49775776651566</v>
      </c>
      <c r="J654">
        <f t="shared" si="65"/>
        <v>2.1299551553303133</v>
      </c>
    </row>
    <row r="655" spans="1:10" x14ac:dyDescent="0.2">
      <c r="A655" s="2"/>
      <c r="B655" s="2"/>
      <c r="C655" s="2">
        <v>2</v>
      </c>
      <c r="D655" s="2">
        <v>2</v>
      </c>
      <c r="E655">
        <f t="shared" si="61"/>
        <v>107.33333333333299</v>
      </c>
      <c r="F655">
        <f t="shared" si="60"/>
        <v>1.7888888888888832</v>
      </c>
      <c r="G655">
        <f t="shared" si="62"/>
        <v>68.063486125641802</v>
      </c>
      <c r="H655">
        <f t="shared" si="63"/>
        <v>63.981982673679354</v>
      </c>
      <c r="I655">
        <f t="shared" si="64"/>
        <v>106.37914500521015</v>
      </c>
      <c r="J655">
        <f t="shared" si="65"/>
        <v>2.127582900104203</v>
      </c>
    </row>
    <row r="656" spans="1:10" x14ac:dyDescent="0.2">
      <c r="A656" s="2"/>
      <c r="B656" s="2"/>
      <c r="C656" s="2">
        <v>2</v>
      </c>
      <c r="D656" s="2">
        <v>2</v>
      </c>
      <c r="E656">
        <f t="shared" si="61"/>
        <v>107.49999999999966</v>
      </c>
      <c r="F656">
        <f t="shared" si="60"/>
        <v>1.791666666666661</v>
      </c>
      <c r="G656">
        <f t="shared" si="62"/>
        <v>67.995102818263888</v>
      </c>
      <c r="H656">
        <f t="shared" si="63"/>
        <v>63.981982673679354</v>
      </c>
      <c r="I656">
        <f t="shared" si="64"/>
        <v>106.27226599877693</v>
      </c>
      <c r="J656">
        <f t="shared" si="65"/>
        <v>2.1254453199755385</v>
      </c>
    </row>
    <row r="657" spans="1:10" x14ac:dyDescent="0.2">
      <c r="A657" s="2"/>
      <c r="B657" s="2"/>
      <c r="C657" s="2">
        <v>2</v>
      </c>
      <c r="D657" s="2">
        <v>2</v>
      </c>
      <c r="E657">
        <f t="shared" si="61"/>
        <v>107.66666666666633</v>
      </c>
      <c r="F657">
        <f t="shared" si="60"/>
        <v>1.7944444444444387</v>
      </c>
      <c r="G657">
        <f t="shared" si="62"/>
        <v>67.933484322338757</v>
      </c>
      <c r="H657">
        <f t="shared" si="63"/>
        <v>63.981982673679354</v>
      </c>
      <c r="I657">
        <f t="shared" si="64"/>
        <v>106.17595998675571</v>
      </c>
      <c r="J657">
        <f t="shared" si="65"/>
        <v>2.1235191997351142</v>
      </c>
    </row>
    <row r="658" spans="1:10" x14ac:dyDescent="0.2">
      <c r="A658" s="2"/>
      <c r="B658" s="2"/>
      <c r="C658" s="2">
        <v>2</v>
      </c>
      <c r="D658" s="2">
        <v>2</v>
      </c>
      <c r="E658">
        <f t="shared" si="61"/>
        <v>107.83333333333299</v>
      </c>
      <c r="F658">
        <f t="shared" si="60"/>
        <v>1.7972222222222165</v>
      </c>
      <c r="G658">
        <f t="shared" si="62"/>
        <v>67.877961429608632</v>
      </c>
      <c r="H658">
        <f t="shared" si="63"/>
        <v>63.981982673679354</v>
      </c>
      <c r="I658">
        <f t="shared" si="64"/>
        <v>106.08918103679208</v>
      </c>
      <c r="J658">
        <f t="shared" si="65"/>
        <v>2.1217836207358416</v>
      </c>
    </row>
    <row r="659" spans="1:10" x14ac:dyDescent="0.2">
      <c r="A659" s="2"/>
      <c r="B659" s="2"/>
      <c r="C659" s="2">
        <v>2</v>
      </c>
      <c r="D659" s="2">
        <v>2</v>
      </c>
      <c r="E659">
        <f t="shared" si="61"/>
        <v>107.99999999999966</v>
      </c>
      <c r="F659">
        <f t="shared" si="60"/>
        <v>1.7999999999999943</v>
      </c>
      <c r="G659">
        <f t="shared" si="62"/>
        <v>67.827931133171887</v>
      </c>
      <c r="H659">
        <f t="shared" si="63"/>
        <v>63.981982673679354</v>
      </c>
      <c r="I659">
        <f t="shared" si="64"/>
        <v>106.01098668527924</v>
      </c>
      <c r="J659">
        <f t="shared" si="65"/>
        <v>2.1202197337055848</v>
      </c>
    </row>
    <row r="660" spans="1:10" x14ac:dyDescent="0.2">
      <c r="A660" s="2"/>
      <c r="B660" s="2"/>
      <c r="C660" s="2">
        <v>2</v>
      </c>
      <c r="D660" s="2">
        <v>2</v>
      </c>
      <c r="E660">
        <f t="shared" si="61"/>
        <v>108.16666666666632</v>
      </c>
      <c r="F660">
        <f t="shared" si="60"/>
        <v>1.802777777777772</v>
      </c>
      <c r="G660">
        <f t="shared" si="62"/>
        <v>67.78285007852088</v>
      </c>
      <c r="H660">
        <f t="shared" si="63"/>
        <v>63.981982673679354</v>
      </c>
      <c r="I660">
        <f t="shared" si="64"/>
        <v>105.940527701723</v>
      </c>
      <c r="J660">
        <f t="shared" si="65"/>
        <v>2.1188105540344599</v>
      </c>
    </row>
    <row r="661" spans="1:10" x14ac:dyDescent="0.2">
      <c r="A661" s="2"/>
      <c r="B661" s="2"/>
      <c r="C661" s="2">
        <v>2</v>
      </c>
      <c r="D661" s="2">
        <v>2</v>
      </c>
      <c r="E661">
        <f t="shared" si="61"/>
        <v>108.33333333333299</v>
      </c>
      <c r="F661">
        <f t="shared" si="60"/>
        <v>1.8055555555555498</v>
      </c>
      <c r="G661">
        <f t="shared" si="62"/>
        <v>67.742228662435195</v>
      </c>
      <c r="H661">
        <f t="shared" si="63"/>
        <v>63.981982673679354</v>
      </c>
      <c r="I661">
        <f t="shared" si="64"/>
        <v>105.87703886566604</v>
      </c>
      <c r="J661">
        <f t="shared" si="65"/>
        <v>2.1175407773133208</v>
      </c>
    </row>
    <row r="662" spans="1:10" x14ac:dyDescent="0.2">
      <c r="A662" s="2"/>
      <c r="B662" s="2"/>
      <c r="C662" s="2">
        <v>2</v>
      </c>
      <c r="D662" s="2">
        <v>2</v>
      </c>
      <c r="E662">
        <f t="shared" si="61"/>
        <v>108.49999999999966</v>
      </c>
      <c r="F662">
        <f t="shared" si="60"/>
        <v>1.8083333333333276</v>
      </c>
      <c r="G662">
        <f t="shared" si="62"/>
        <v>67.705625715641233</v>
      </c>
      <c r="H662">
        <f t="shared" si="63"/>
        <v>63.981982673679354</v>
      </c>
      <c r="I662">
        <f t="shared" si="64"/>
        <v>105.81983065600386</v>
      </c>
      <c r="J662">
        <f t="shared" si="65"/>
        <v>2.1163966131200773</v>
      </c>
    </row>
    <row r="663" spans="1:10" x14ac:dyDescent="0.2">
      <c r="A663" s="2"/>
      <c r="B663" s="2"/>
      <c r="C663" s="2">
        <v>2</v>
      </c>
      <c r="D663" s="2">
        <v>2</v>
      </c>
      <c r="E663">
        <f t="shared" si="61"/>
        <v>108.66666666666632</v>
      </c>
      <c r="F663">
        <f t="shared" si="60"/>
        <v>1.8111111111111053</v>
      </c>
      <c r="G663">
        <f t="shared" si="62"/>
        <v>67.672643711489158</v>
      </c>
      <c r="H663">
        <f t="shared" si="63"/>
        <v>63.981982673679354</v>
      </c>
      <c r="I663">
        <f t="shared" si="64"/>
        <v>105.76828176243443</v>
      </c>
      <c r="J663">
        <f t="shared" si="65"/>
        <v>2.1153656352486885</v>
      </c>
    </row>
    <row r="664" spans="1:10" x14ac:dyDescent="0.2">
      <c r="A664" s="2"/>
      <c r="B664" s="2"/>
      <c r="C664" s="2">
        <v>2</v>
      </c>
      <c r="D664" s="2">
        <v>2</v>
      </c>
      <c r="E664">
        <f t="shared" si="61"/>
        <v>108.83333333333299</v>
      </c>
      <c r="F664">
        <f t="shared" si="60"/>
        <v>1.8138888888888831</v>
      </c>
      <c r="G664">
        <f t="shared" si="62"/>
        <v>67.642924448610927</v>
      </c>
      <c r="H664">
        <f t="shared" si="63"/>
        <v>63.981982673679354</v>
      </c>
      <c r="I664">
        <f t="shared" si="64"/>
        <v>105.72183233771153</v>
      </c>
      <c r="J664">
        <f t="shared" si="65"/>
        <v>2.1144366467542306</v>
      </c>
    </row>
    <row r="665" spans="1:10" x14ac:dyDescent="0.2">
      <c r="A665" s="2"/>
      <c r="B665" s="2"/>
      <c r="C665" s="2">
        <v>2</v>
      </c>
      <c r="D665" s="2">
        <v>2</v>
      </c>
      <c r="E665">
        <f t="shared" si="61"/>
        <v>108.99999999999966</v>
      </c>
      <c r="F665">
        <f t="shared" si="60"/>
        <v>1.8166666666666609</v>
      </c>
      <c r="G665">
        <f t="shared" si="62"/>
        <v>67.616145160670968</v>
      </c>
      <c r="H665">
        <f t="shared" si="63"/>
        <v>63.981982673679354</v>
      </c>
      <c r="I665">
        <f t="shared" si="64"/>
        <v>105.67997791741865</v>
      </c>
      <c r="J665">
        <f t="shared" si="65"/>
        <v>2.1135995583483731</v>
      </c>
    </row>
    <row r="666" spans="1:10" x14ac:dyDescent="0.2">
      <c r="A666" s="2"/>
      <c r="B666" s="2"/>
      <c r="C666" s="2">
        <v>2</v>
      </c>
      <c r="D666" s="2">
        <v>2</v>
      </c>
      <c r="E666">
        <f t="shared" si="61"/>
        <v>109.16666666666632</v>
      </c>
      <c r="F666">
        <f t="shared" si="60"/>
        <v>1.8194444444444386</v>
      </c>
      <c r="G666">
        <f t="shared" si="62"/>
        <v>67.592015010959329</v>
      </c>
      <c r="H666">
        <f t="shared" si="63"/>
        <v>63.981982673679354</v>
      </c>
      <c r="I666">
        <f t="shared" si="64"/>
        <v>105.64226394122834</v>
      </c>
      <c r="J666">
        <f t="shared" si="65"/>
        <v>2.1128452788245666</v>
      </c>
    </row>
    <row r="667" spans="1:10" x14ac:dyDescent="0.2">
      <c r="A667" s="2"/>
      <c r="B667" s="2"/>
      <c r="C667" s="2">
        <v>2</v>
      </c>
      <c r="D667" s="2">
        <v>2</v>
      </c>
      <c r="E667">
        <f t="shared" si="61"/>
        <v>109.33333333333299</v>
      </c>
      <c r="F667">
        <f t="shared" si="60"/>
        <v>1.8222222222222164</v>
      </c>
      <c r="G667">
        <f t="shared" si="62"/>
        <v>67.570271933756842</v>
      </c>
      <c r="H667">
        <f t="shared" si="63"/>
        <v>63.981982673679354</v>
      </c>
      <c r="I667">
        <f t="shared" si="64"/>
        <v>105.60828081614548</v>
      </c>
      <c r="J667">
        <f t="shared" si="65"/>
        <v>2.1121656163229097</v>
      </c>
    </row>
    <row r="668" spans="1:10" x14ac:dyDescent="0.2">
      <c r="A668" s="2"/>
      <c r="B668" s="2"/>
      <c r="C668" s="2">
        <v>2</v>
      </c>
      <c r="D668" s="2">
        <v>2</v>
      </c>
      <c r="E668">
        <f t="shared" si="61"/>
        <v>109.49999999999964</v>
      </c>
      <c r="F668">
        <f t="shared" si="60"/>
        <v>1.8249999999999942</v>
      </c>
      <c r="G668">
        <f t="shared" si="62"/>
        <v>67.550679788167898</v>
      </c>
      <c r="H668">
        <f t="shared" si="63"/>
        <v>63.981982673679354</v>
      </c>
      <c r="I668">
        <f t="shared" si="64"/>
        <v>105.5776594681187</v>
      </c>
      <c r="J668">
        <f t="shared" si="65"/>
        <v>2.111553189362374</v>
      </c>
    </row>
    <row r="669" spans="1:10" x14ac:dyDescent="0.2">
      <c r="A669" s="2"/>
      <c r="B669" s="2"/>
      <c r="C669" s="2">
        <v>2</v>
      </c>
      <c r="D669" s="2">
        <v>2</v>
      </c>
      <c r="E669">
        <f t="shared" si="61"/>
        <v>109.66666666666632</v>
      </c>
      <c r="F669">
        <f t="shared" si="60"/>
        <v>1.827777777777772</v>
      </c>
      <c r="G669">
        <f t="shared" si="62"/>
        <v>67.533025793510035</v>
      </c>
      <c r="H669">
        <f t="shared" si="63"/>
        <v>63.981982673679354</v>
      </c>
      <c r="I669">
        <f t="shared" si="64"/>
        <v>105.55006733370813</v>
      </c>
      <c r="J669">
        <f t="shared" si="65"/>
        <v>2.1110013466741626</v>
      </c>
    </row>
    <row r="670" spans="1:10" x14ac:dyDescent="0.2">
      <c r="A670" s="2"/>
      <c r="B670" s="2"/>
      <c r="C670" s="2">
        <v>2</v>
      </c>
      <c r="D670" s="2">
        <v>2</v>
      </c>
      <c r="E670">
        <f t="shared" si="61"/>
        <v>109.83333333333299</v>
      </c>
      <c r="F670">
        <f t="shared" si="60"/>
        <v>1.8305555555555497</v>
      </c>
      <c r="G670">
        <f t="shared" si="62"/>
        <v>67.517118218407305</v>
      </c>
      <c r="H670">
        <f t="shared" si="63"/>
        <v>63.981982673679354</v>
      </c>
      <c r="I670">
        <f t="shared" si="64"/>
        <v>105.52520474827709</v>
      </c>
      <c r="J670">
        <f t="shared" si="65"/>
        <v>2.1105040949655418</v>
      </c>
    </row>
    <row r="671" spans="1:10" x14ac:dyDescent="0.2">
      <c r="A671" s="2"/>
      <c r="B671" s="2"/>
      <c r="C671" s="2">
        <v>2</v>
      </c>
      <c r="D671" s="2">
        <v>2</v>
      </c>
      <c r="E671">
        <f t="shared" si="61"/>
        <v>109.99999999999964</v>
      </c>
      <c r="F671">
        <f t="shared" si="60"/>
        <v>1.8333333333333275</v>
      </c>
      <c r="G671">
        <f t="shared" si="62"/>
        <v>67.502784298489843</v>
      </c>
      <c r="H671">
        <f t="shared" si="63"/>
        <v>63.981982673679354</v>
      </c>
      <c r="I671">
        <f t="shared" si="64"/>
        <v>105.50280169148127</v>
      </c>
      <c r="J671">
        <f t="shared" si="65"/>
        <v>2.1100560338296255</v>
      </c>
    </row>
    <row r="672" spans="1:10" x14ac:dyDescent="0.2">
      <c r="A672" s="2"/>
      <c r="B672" s="2"/>
      <c r="C672" s="2">
        <v>1</v>
      </c>
      <c r="D672" s="2">
        <v>1</v>
      </c>
      <c r="E672">
        <f t="shared" si="61"/>
        <v>110.16666666666632</v>
      </c>
      <c r="F672">
        <f t="shared" si="60"/>
        <v>1.8361111111111053</v>
      </c>
      <c r="G672">
        <f t="shared" si="62"/>
        <v>64.157473429164014</v>
      </c>
      <c r="H672">
        <f t="shared" si="63"/>
        <v>31.990991336839677</v>
      </c>
      <c r="I672">
        <f t="shared" si="64"/>
        <v>200.54856304275438</v>
      </c>
      <c r="J672">
        <f t="shared" si="65"/>
        <v>2.0054856304275437</v>
      </c>
    </row>
    <row r="673" spans="1:10" x14ac:dyDescent="0.2">
      <c r="A673" s="2"/>
      <c r="B673" s="2"/>
      <c r="C673" s="2">
        <v>1</v>
      </c>
      <c r="D673" s="2">
        <v>1</v>
      </c>
      <c r="E673">
        <f t="shared" si="61"/>
        <v>110.33333333333299</v>
      </c>
      <c r="F673">
        <f t="shared" si="60"/>
        <v>1.838888888888883</v>
      </c>
      <c r="G673">
        <f t="shared" si="62"/>
        <v>61.143097083915656</v>
      </c>
      <c r="H673">
        <f t="shared" si="63"/>
        <v>31.990991336839677</v>
      </c>
      <c r="I673">
        <f t="shared" si="64"/>
        <v>191.12598431266949</v>
      </c>
      <c r="J673">
        <f t="shared" si="65"/>
        <v>1.9112598431266949</v>
      </c>
    </row>
    <row r="674" spans="1:10" x14ac:dyDescent="0.2">
      <c r="A674" s="2"/>
      <c r="B674" s="2"/>
      <c r="C674" s="2">
        <v>1</v>
      </c>
      <c r="D674" s="2">
        <v>1</v>
      </c>
      <c r="E674">
        <f t="shared" si="61"/>
        <v>110.49999999999964</v>
      </c>
      <c r="F674">
        <f t="shared" si="60"/>
        <v>1.8416666666666608</v>
      </c>
      <c r="G674">
        <f t="shared" si="62"/>
        <v>58.426917599937234</v>
      </c>
      <c r="H674">
        <f t="shared" si="63"/>
        <v>31.990991336839677</v>
      </c>
      <c r="I674">
        <f t="shared" si="64"/>
        <v>182.63553318729103</v>
      </c>
      <c r="J674">
        <f t="shared" si="65"/>
        <v>1.8263553318729102</v>
      </c>
    </row>
    <row r="675" spans="1:10" x14ac:dyDescent="0.2">
      <c r="A675" s="2"/>
      <c r="B675" s="2"/>
      <c r="C675" s="2">
        <v>1</v>
      </c>
      <c r="D675" s="2">
        <v>1</v>
      </c>
      <c r="E675">
        <f t="shared" si="61"/>
        <v>110.66666666666632</v>
      </c>
      <c r="F675">
        <f t="shared" si="60"/>
        <v>1.8444444444444386</v>
      </c>
      <c r="G675">
        <f t="shared" si="62"/>
        <v>55.979435884253377</v>
      </c>
      <c r="H675">
        <f t="shared" si="63"/>
        <v>31.990991336839677</v>
      </c>
      <c r="I675">
        <f t="shared" si="64"/>
        <v>174.98499904186923</v>
      </c>
      <c r="J675">
        <f t="shared" si="65"/>
        <v>1.7498499904186924</v>
      </c>
    </row>
    <row r="676" spans="1:10" x14ac:dyDescent="0.2">
      <c r="A676" s="2"/>
      <c r="B676" s="2"/>
      <c r="C676" s="2">
        <v>1</v>
      </c>
      <c r="D676" s="2">
        <v>1</v>
      </c>
      <c r="E676">
        <f t="shared" si="61"/>
        <v>110.83333333333297</v>
      </c>
      <c r="F676">
        <f t="shared" si="60"/>
        <v>1.8472222222222163</v>
      </c>
      <c r="G676">
        <f t="shared" si="62"/>
        <v>53.774071038542615</v>
      </c>
      <c r="H676">
        <f t="shared" si="63"/>
        <v>31.990991336839677</v>
      </c>
      <c r="I676">
        <f t="shared" si="64"/>
        <v>168.0912931779589</v>
      </c>
      <c r="J676">
        <f t="shared" si="65"/>
        <v>1.680912931779589</v>
      </c>
    </row>
    <row r="677" spans="1:10" x14ac:dyDescent="0.2">
      <c r="A677" s="2"/>
      <c r="B677" s="2"/>
      <c r="C677" s="2">
        <v>1</v>
      </c>
      <c r="D677" s="2">
        <v>1</v>
      </c>
      <c r="E677">
        <f t="shared" si="61"/>
        <v>110.99999999999964</v>
      </c>
      <c r="F677">
        <f t="shared" si="60"/>
        <v>1.8499999999999941</v>
      </c>
      <c r="G677">
        <f t="shared" si="62"/>
        <v>51.786871677039777</v>
      </c>
      <c r="H677">
        <f t="shared" si="63"/>
        <v>31.990991336839677</v>
      </c>
      <c r="I677">
        <f t="shared" si="64"/>
        <v>161.87954643782442</v>
      </c>
      <c r="J677">
        <f t="shared" si="65"/>
        <v>1.6187954643782441</v>
      </c>
    </row>
    <row r="678" spans="1:10" x14ac:dyDescent="0.2">
      <c r="A678" s="2"/>
      <c r="B678" s="2"/>
      <c r="C678" s="2">
        <v>1</v>
      </c>
      <c r="D678" s="2">
        <v>1</v>
      </c>
      <c r="E678">
        <f t="shared" si="61"/>
        <v>111.16666666666632</v>
      </c>
      <c r="F678">
        <f t="shared" si="60"/>
        <v>1.8527777777777719</v>
      </c>
      <c r="G678">
        <f t="shared" si="62"/>
        <v>49.996255802284324</v>
      </c>
      <c r="H678">
        <f t="shared" si="63"/>
        <v>31.990991336839677</v>
      </c>
      <c r="I678">
        <f t="shared" si="64"/>
        <v>156.28229608724388</v>
      </c>
      <c r="J678">
        <f t="shared" si="65"/>
        <v>1.5628229608724389</v>
      </c>
    </row>
    <row r="679" spans="1:10" x14ac:dyDescent="0.2">
      <c r="A679" s="2"/>
      <c r="B679" s="2"/>
      <c r="C679" s="2">
        <v>1</v>
      </c>
      <c r="D679" s="2">
        <v>1</v>
      </c>
      <c r="E679">
        <f t="shared" si="61"/>
        <v>111.33333333333297</v>
      </c>
      <c r="F679">
        <f t="shared" si="60"/>
        <v>1.8555555555555496</v>
      </c>
      <c r="G679">
        <f t="shared" si="62"/>
        <v>48.382776413632833</v>
      </c>
      <c r="H679">
        <f t="shared" si="63"/>
        <v>31.990991336839677</v>
      </c>
      <c r="I679">
        <f t="shared" si="64"/>
        <v>151.23875313584597</v>
      </c>
      <c r="J679">
        <f t="shared" si="65"/>
        <v>1.5123875313584596</v>
      </c>
    </row>
    <row r="680" spans="1:10" x14ac:dyDescent="0.2">
      <c r="A680" s="2"/>
      <c r="B680" s="2"/>
      <c r="C680" s="2">
        <v>1</v>
      </c>
      <c r="D680" s="2">
        <v>1</v>
      </c>
      <c r="E680">
        <f t="shared" si="61"/>
        <v>111.49999999999964</v>
      </c>
      <c r="F680">
        <f t="shared" si="60"/>
        <v>1.8583333333333274</v>
      </c>
      <c r="G680">
        <f t="shared" si="62"/>
        <v>46.928910302924571</v>
      </c>
      <c r="H680">
        <f t="shared" si="63"/>
        <v>31.990991336839677</v>
      </c>
      <c r="I680">
        <f t="shared" si="64"/>
        <v>146.69414213770526</v>
      </c>
      <c r="J680">
        <f t="shared" si="65"/>
        <v>1.4669414213770526</v>
      </c>
    </row>
    <row r="681" spans="1:10" x14ac:dyDescent="0.2">
      <c r="A681" s="2"/>
      <c r="B681" s="2"/>
      <c r="C681" s="2">
        <v>1</v>
      </c>
      <c r="D681" s="2">
        <v>1</v>
      </c>
      <c r="E681">
        <f t="shared" si="61"/>
        <v>111.66666666666632</v>
      </c>
      <c r="F681">
        <f t="shared" si="60"/>
        <v>1.8611111111111052</v>
      </c>
      <c r="G681">
        <f t="shared" si="62"/>
        <v>45.618867743513519</v>
      </c>
      <c r="H681">
        <f t="shared" si="63"/>
        <v>31.990991336839677</v>
      </c>
      <c r="I681">
        <f t="shared" si="64"/>
        <v>142.59910630209345</v>
      </c>
      <c r="J681">
        <f t="shared" si="65"/>
        <v>1.4259910630209345</v>
      </c>
    </row>
    <row r="682" spans="1:10" x14ac:dyDescent="0.2">
      <c r="A682" s="2"/>
      <c r="B682" s="2"/>
      <c r="C682" s="2">
        <v>1</v>
      </c>
      <c r="D682" s="2">
        <v>1</v>
      </c>
      <c r="E682">
        <f t="shared" si="61"/>
        <v>111.83333333333297</v>
      </c>
      <c r="F682">
        <f t="shared" si="60"/>
        <v>1.8638888888888829</v>
      </c>
      <c r="G682">
        <f t="shared" si="62"/>
        <v>44.438421005792819</v>
      </c>
      <c r="H682">
        <f t="shared" si="63"/>
        <v>31.990991336839677</v>
      </c>
      <c r="I682">
        <f t="shared" si="64"/>
        <v>138.90917145358708</v>
      </c>
      <c r="J682">
        <f t="shared" si="65"/>
        <v>1.3890917145358708</v>
      </c>
    </row>
    <row r="683" spans="1:10" x14ac:dyDescent="0.2">
      <c r="A683" s="2"/>
      <c r="B683" s="2"/>
      <c r="C683" s="2">
        <v>1</v>
      </c>
      <c r="D683" s="2">
        <v>1</v>
      </c>
      <c r="E683">
        <f t="shared" si="61"/>
        <v>111.99999999999964</v>
      </c>
      <c r="F683">
        <f t="shared" si="60"/>
        <v>1.8666666666666607</v>
      </c>
      <c r="G683">
        <f t="shared" si="62"/>
        <v>43.374749836802785</v>
      </c>
      <c r="H683">
        <f t="shared" si="63"/>
        <v>31.990991336839677</v>
      </c>
      <c r="I683">
        <f t="shared" si="64"/>
        <v>135.58426301986452</v>
      </c>
      <c r="J683">
        <f t="shared" si="65"/>
        <v>1.3558426301986453</v>
      </c>
    </row>
    <row r="684" spans="1:10" x14ac:dyDescent="0.2">
      <c r="A684" s="2"/>
      <c r="B684" s="2"/>
      <c r="C684" s="2">
        <v>1</v>
      </c>
      <c r="D684" s="2">
        <v>1</v>
      </c>
      <c r="E684">
        <f t="shared" si="61"/>
        <v>112.1666666666663</v>
      </c>
      <c r="F684">
        <f t="shared" si="60"/>
        <v>1.8694444444444385</v>
      </c>
      <c r="G684">
        <f t="shared" si="62"/>
        <v>42.416302225752396</v>
      </c>
      <c r="H684">
        <f t="shared" si="63"/>
        <v>31.990991336839677</v>
      </c>
      <c r="I684">
        <f t="shared" si="64"/>
        <v>132.58827080143436</v>
      </c>
      <c r="J684">
        <f t="shared" si="65"/>
        <v>1.3258827080143436</v>
      </c>
    </row>
    <row r="685" spans="1:10" x14ac:dyDescent="0.2">
      <c r="A685" s="2"/>
      <c r="B685" s="2"/>
      <c r="C685" s="2">
        <v>1</v>
      </c>
      <c r="D685" s="2">
        <v>1</v>
      </c>
      <c r="E685">
        <f t="shared" si="61"/>
        <v>112.33333333333297</v>
      </c>
      <c r="F685">
        <f t="shared" si="60"/>
        <v>1.8722222222222162</v>
      </c>
      <c r="G685">
        <f t="shared" si="62"/>
        <v>41.552668943296851</v>
      </c>
      <c r="H685">
        <f t="shared" si="63"/>
        <v>31.990991336839677</v>
      </c>
      <c r="I685">
        <f t="shared" si="64"/>
        <v>129.88865679647225</v>
      </c>
      <c r="J685">
        <f t="shared" si="65"/>
        <v>1.2988865679647226</v>
      </c>
    </row>
    <row r="686" spans="1:10" x14ac:dyDescent="0.2">
      <c r="A686" s="2"/>
      <c r="B686" s="2"/>
      <c r="C686" s="2">
        <v>1</v>
      </c>
      <c r="D686" s="2">
        <v>1</v>
      </c>
      <c r="E686">
        <f t="shared" si="61"/>
        <v>112.49999999999964</v>
      </c>
      <c r="F686">
        <f t="shared" si="60"/>
        <v>1.874999999999994</v>
      </c>
      <c r="G686">
        <f t="shared" si="62"/>
        <v>40.774470492003793</v>
      </c>
      <c r="H686">
        <f t="shared" si="63"/>
        <v>31.990991336839677</v>
      </c>
      <c r="I686">
        <f t="shared" si="64"/>
        <v>127.45610182154429</v>
      </c>
      <c r="J686">
        <f t="shared" si="65"/>
        <v>1.274561018215443</v>
      </c>
    </row>
    <row r="687" spans="1:10" x14ac:dyDescent="0.2">
      <c r="A687" s="2"/>
      <c r="B687" s="2"/>
      <c r="C687" s="2">
        <v>1</v>
      </c>
      <c r="D687" s="2">
        <v>1</v>
      </c>
      <c r="E687">
        <f t="shared" si="61"/>
        <v>112.6666666666663</v>
      </c>
      <c r="F687">
        <f t="shared" si="60"/>
        <v>1.8777777777777718</v>
      </c>
      <c r="G687">
        <f t="shared" si="62"/>
        <v>40.073255240232761</v>
      </c>
      <c r="H687">
        <f t="shared" si="63"/>
        <v>31.990991336839677</v>
      </c>
      <c r="I687">
        <f t="shared" si="64"/>
        <v>125.26418709033827</v>
      </c>
      <c r="J687">
        <f t="shared" si="65"/>
        <v>1.2526418709033826</v>
      </c>
    </row>
    <row r="688" spans="1:10" x14ac:dyDescent="0.2">
      <c r="A688" s="2"/>
      <c r="B688" s="2"/>
      <c r="C688" s="2">
        <v>1</v>
      </c>
      <c r="D688" s="2">
        <v>1</v>
      </c>
      <c r="E688">
        <f t="shared" si="61"/>
        <v>112.83333333333297</v>
      </c>
      <c r="F688">
        <f t="shared" si="60"/>
        <v>1.8805555555555495</v>
      </c>
      <c r="G688">
        <f t="shared" si="62"/>
        <v>39.441407633109797</v>
      </c>
      <c r="H688">
        <f t="shared" si="63"/>
        <v>31.990991336839677</v>
      </c>
      <c r="I688">
        <f t="shared" si="64"/>
        <v>123.28910729218474</v>
      </c>
      <c r="J688">
        <f t="shared" si="65"/>
        <v>1.2328910729218474</v>
      </c>
    </row>
    <row r="689" spans="1:10" x14ac:dyDescent="0.2">
      <c r="A689" s="2"/>
      <c r="B689" s="2"/>
      <c r="C689" s="2">
        <v>1</v>
      </c>
      <c r="D689" s="2">
        <v>1</v>
      </c>
      <c r="E689">
        <f t="shared" si="61"/>
        <v>112.99999999999964</v>
      </c>
      <c r="F689">
        <f t="shared" ref="F689:F752" si="66">Tsamp+F688</f>
        <v>1.8833333333333273</v>
      </c>
      <c r="G689">
        <f t="shared" si="62"/>
        <v>38.872065483721727</v>
      </c>
      <c r="H689">
        <f t="shared" si="63"/>
        <v>31.990991336839677</v>
      </c>
      <c r="I689">
        <f t="shared" si="64"/>
        <v>121.50941205425558</v>
      </c>
      <c r="J689">
        <f t="shared" si="65"/>
        <v>1.2150941205425558</v>
      </c>
    </row>
    <row r="690" spans="1:10" x14ac:dyDescent="0.2">
      <c r="A690" s="2"/>
      <c r="B690" s="2"/>
      <c r="C690" s="2">
        <v>1</v>
      </c>
      <c r="D690" s="2">
        <v>1</v>
      </c>
      <c r="E690">
        <f t="shared" si="61"/>
        <v>113.1666666666663</v>
      </c>
      <c r="F690">
        <f t="shared" si="66"/>
        <v>1.8861111111111051</v>
      </c>
      <c r="G690">
        <f t="shared" si="62"/>
        <v>38.359045446270287</v>
      </c>
      <c r="H690">
        <f t="shared" si="63"/>
        <v>31.990991336839677</v>
      </c>
      <c r="I690">
        <f t="shared" si="64"/>
        <v>119.90577297958687</v>
      </c>
      <c r="J690">
        <f t="shared" si="65"/>
        <v>1.1990577297958687</v>
      </c>
    </row>
    <row r="691" spans="1:10" x14ac:dyDescent="0.2">
      <c r="A691" s="2"/>
      <c r="B691" s="2"/>
      <c r="C691" s="2">
        <v>1</v>
      </c>
      <c r="D691" s="2">
        <v>1</v>
      </c>
      <c r="E691">
        <f t="shared" si="61"/>
        <v>113.33333333333297</v>
      </c>
      <c r="F691">
        <f t="shared" si="66"/>
        <v>1.8888888888888828</v>
      </c>
      <c r="G691">
        <f t="shared" si="62"/>
        <v>37.896775861786587</v>
      </c>
      <c r="H691">
        <f t="shared" si="63"/>
        <v>31.990991336839677</v>
      </c>
      <c r="I691">
        <f t="shared" si="64"/>
        <v>118.46077373084097</v>
      </c>
      <c r="J691">
        <f t="shared" si="65"/>
        <v>1.1846077373084096</v>
      </c>
    </row>
    <row r="692" spans="1:10" x14ac:dyDescent="0.2">
      <c r="A692" s="2"/>
      <c r="B692" s="2"/>
      <c r="C692" s="2">
        <v>1</v>
      </c>
      <c r="D692" s="2">
        <v>1</v>
      </c>
      <c r="E692">
        <f t="shared" si="61"/>
        <v>113.49999999999963</v>
      </c>
      <c r="F692">
        <f t="shared" si="66"/>
        <v>1.8916666666666606</v>
      </c>
      <c r="G692">
        <f t="shared" si="62"/>
        <v>37.480236247076199</v>
      </c>
      <c r="H692">
        <f t="shared" si="63"/>
        <v>31.990991336839677</v>
      </c>
      <c r="I692">
        <f t="shared" si="64"/>
        <v>117.15872088001007</v>
      </c>
      <c r="J692">
        <f t="shared" si="65"/>
        <v>1.1715872088001007</v>
      </c>
    </row>
    <row r="693" spans="1:10" x14ac:dyDescent="0.2">
      <c r="A693" s="2"/>
      <c r="B693" s="2"/>
      <c r="C693" s="2">
        <v>1</v>
      </c>
      <c r="D693" s="2">
        <v>1</v>
      </c>
      <c r="E693">
        <f t="shared" si="61"/>
        <v>113.6666666666663</v>
      </c>
      <c r="F693">
        <f t="shared" si="66"/>
        <v>1.8944444444444384</v>
      </c>
      <c r="G693">
        <f t="shared" si="62"/>
        <v>37.104902769713931</v>
      </c>
      <c r="H693">
        <f t="shared" si="63"/>
        <v>31.990991336839677</v>
      </c>
      <c r="I693">
        <f t="shared" si="64"/>
        <v>115.98547346979291</v>
      </c>
      <c r="J693">
        <f t="shared" si="65"/>
        <v>1.1598547346979291</v>
      </c>
    </row>
    <row r="694" spans="1:10" x14ac:dyDescent="0.2">
      <c r="A694" s="2"/>
      <c r="B694" s="2"/>
      <c r="C694" s="2">
        <v>1</v>
      </c>
      <c r="D694" s="2">
        <v>1</v>
      </c>
      <c r="E694">
        <f t="shared" si="61"/>
        <v>113.83333333333297</v>
      </c>
      <c r="F694">
        <f t="shared" si="66"/>
        <v>1.8972222222222161</v>
      </c>
      <c r="G694">
        <f t="shared" si="62"/>
        <v>36.766699116918986</v>
      </c>
      <c r="H694">
        <f t="shared" si="63"/>
        <v>31.990991336839677</v>
      </c>
      <c r="I694">
        <f t="shared" si="64"/>
        <v>114.92828943559425</v>
      </c>
      <c r="J694">
        <f t="shared" si="65"/>
        <v>1.1492828943559426</v>
      </c>
    </row>
    <row r="695" spans="1:10" x14ac:dyDescent="0.2">
      <c r="A695" s="2"/>
      <c r="B695" s="2"/>
      <c r="C695" s="2">
        <v>1</v>
      </c>
      <c r="D695" s="2">
        <v>1</v>
      </c>
      <c r="E695">
        <f t="shared" si="61"/>
        <v>113.99999999999963</v>
      </c>
      <c r="F695">
        <f t="shared" si="66"/>
        <v>1.8999999999999939</v>
      </c>
      <c r="G695">
        <f t="shared" si="62"/>
        <v>36.461952224721458</v>
      </c>
      <c r="H695">
        <f t="shared" si="63"/>
        <v>31.990991336839677</v>
      </c>
      <c r="I695">
        <f t="shared" si="64"/>
        <v>113.97568722021185</v>
      </c>
      <c r="J695">
        <f t="shared" si="65"/>
        <v>1.1397568722021185</v>
      </c>
    </row>
    <row r="696" spans="1:10" x14ac:dyDescent="0.2">
      <c r="A696" s="2"/>
      <c r="B696" s="2"/>
      <c r="C696" s="2">
        <v>1</v>
      </c>
      <c r="D696" s="2">
        <v>1</v>
      </c>
      <c r="E696">
        <f t="shared" si="61"/>
        <v>114.1666666666663</v>
      </c>
      <c r="F696">
        <f t="shared" si="66"/>
        <v>1.9027777777777717</v>
      </c>
      <c r="G696">
        <f t="shared" si="62"/>
        <v>36.187352386616332</v>
      </c>
      <c r="H696">
        <f t="shared" si="63"/>
        <v>31.990991336839677</v>
      </c>
      <c r="I696">
        <f t="shared" si="64"/>
        <v>113.11732107827579</v>
      </c>
      <c r="J696">
        <f t="shared" si="65"/>
        <v>1.1311732107827579</v>
      </c>
    </row>
    <row r="697" spans="1:10" x14ac:dyDescent="0.2">
      <c r="A697" s="2"/>
      <c r="B697" s="2"/>
      <c r="C697" s="2">
        <v>1</v>
      </c>
      <c r="D697" s="2">
        <v>1</v>
      </c>
      <c r="E697">
        <f t="shared" si="61"/>
        <v>114.33333333333297</v>
      </c>
      <c r="F697">
        <f t="shared" si="66"/>
        <v>1.9055555555555495</v>
      </c>
      <c r="G697">
        <f t="shared" si="62"/>
        <v>35.939917308464707</v>
      </c>
      <c r="H697">
        <f t="shared" si="63"/>
        <v>31.990991336839677</v>
      </c>
      <c r="I697">
        <f t="shared" si="64"/>
        <v>112.34386871618321</v>
      </c>
      <c r="J697">
        <f t="shared" si="65"/>
        <v>1.123438687161832</v>
      </c>
    </row>
    <row r="698" spans="1:10" x14ac:dyDescent="0.2">
      <c r="A698" s="2"/>
      <c r="B698" s="2"/>
      <c r="C698" s="2">
        <v>1</v>
      </c>
      <c r="D698" s="2">
        <v>1</v>
      </c>
      <c r="E698">
        <f t="shared" si="61"/>
        <v>114.49999999999963</v>
      </c>
      <c r="F698">
        <f t="shared" si="66"/>
        <v>1.9083333333333272</v>
      </c>
      <c r="G698">
        <f t="shared" si="62"/>
        <v>35.716959719260075</v>
      </c>
      <c r="H698">
        <f t="shared" si="63"/>
        <v>31.990991336839677</v>
      </c>
      <c r="I698">
        <f t="shared" si="64"/>
        <v>111.64693004724022</v>
      </c>
      <c r="J698">
        <f t="shared" si="65"/>
        <v>1.1164693004724022</v>
      </c>
    </row>
    <row r="699" spans="1:10" x14ac:dyDescent="0.2">
      <c r="A699" s="2"/>
      <c r="B699" s="2"/>
      <c r="C699" s="2">
        <v>1</v>
      </c>
      <c r="D699" s="2">
        <v>1</v>
      </c>
      <c r="E699">
        <f t="shared" si="61"/>
        <v>114.6666666666663</v>
      </c>
      <c r="F699">
        <f t="shared" si="66"/>
        <v>1.911111111111105</v>
      </c>
      <c r="G699">
        <f t="shared" si="62"/>
        <v>35.516058185996151</v>
      </c>
      <c r="H699">
        <f t="shared" si="63"/>
        <v>31.990991336839677</v>
      </c>
      <c r="I699">
        <f t="shared" si="64"/>
        <v>111.01893596244119</v>
      </c>
      <c r="J699">
        <f t="shared" si="65"/>
        <v>1.1101893596244119</v>
      </c>
    </row>
    <row r="700" spans="1:10" x14ac:dyDescent="0.2">
      <c r="A700" s="2"/>
      <c r="B700" s="2"/>
      <c r="C700" s="2">
        <v>1</v>
      </c>
      <c r="D700" s="2">
        <v>1</v>
      </c>
      <c r="E700">
        <f t="shared" si="61"/>
        <v>114.83333333333296</v>
      </c>
      <c r="F700">
        <f t="shared" si="66"/>
        <v>1.9138888888888828</v>
      </c>
      <c r="G700">
        <f t="shared" si="62"/>
        <v>35.335030815670791</v>
      </c>
      <c r="H700">
        <f t="shared" si="63"/>
        <v>31.990991336839677</v>
      </c>
      <c r="I700">
        <f t="shared" si="64"/>
        <v>110.45306612608856</v>
      </c>
      <c r="J700">
        <f t="shared" si="65"/>
        <v>1.1045306612608856</v>
      </c>
    </row>
    <row r="701" spans="1:10" x14ac:dyDescent="0.2">
      <c r="A701" s="2"/>
      <c r="B701" s="2"/>
      <c r="C701" s="2">
        <v>1</v>
      </c>
      <c r="D701" s="2">
        <v>1</v>
      </c>
      <c r="E701">
        <f t="shared" si="61"/>
        <v>114.99999999999963</v>
      </c>
      <c r="F701">
        <f t="shared" si="66"/>
        <v>1.9166666666666605</v>
      </c>
      <c r="G701">
        <f t="shared" si="62"/>
        <v>35.171911558816419</v>
      </c>
      <c r="H701">
        <f t="shared" si="63"/>
        <v>31.990991336839677</v>
      </c>
      <c r="I701">
        <f t="shared" si="64"/>
        <v>109.94317490347261</v>
      </c>
      <c r="J701">
        <f t="shared" si="65"/>
        <v>1.0994317490347261</v>
      </c>
    </row>
    <row r="702" spans="1:10" x14ac:dyDescent="0.2">
      <c r="A702" s="2"/>
      <c r="B702" s="2"/>
      <c r="C702" s="2">
        <v>1</v>
      </c>
      <c r="D702" s="2">
        <v>1</v>
      </c>
      <c r="E702">
        <f t="shared" si="61"/>
        <v>115.1666666666663</v>
      </c>
      <c r="F702">
        <f t="shared" si="66"/>
        <v>1.9194444444444383</v>
      </c>
      <c r="G702">
        <f t="shared" si="62"/>
        <v>35.024928857201189</v>
      </c>
      <c r="H702">
        <f t="shared" si="63"/>
        <v>31.990991336839677</v>
      </c>
      <c r="I702">
        <f t="shared" si="64"/>
        <v>109.48372461614761</v>
      </c>
      <c r="J702">
        <f t="shared" si="65"/>
        <v>1.0948372461614762</v>
      </c>
    </row>
    <row r="703" spans="1:10" x14ac:dyDescent="0.2">
      <c r="A703" s="2"/>
      <c r="B703" s="2"/>
      <c r="C703" s="2">
        <v>1</v>
      </c>
      <c r="D703" s="2">
        <v>1</v>
      </c>
      <c r="E703">
        <f t="shared" si="61"/>
        <v>115.33333333333296</v>
      </c>
      <c r="F703">
        <f t="shared" si="66"/>
        <v>1.9222222222222161</v>
      </c>
      <c r="G703">
        <f t="shared" si="62"/>
        <v>34.892486403804043</v>
      </c>
      <c r="H703">
        <f t="shared" si="63"/>
        <v>31.990991336839677</v>
      </c>
      <c r="I703">
        <f t="shared" si="64"/>
        <v>109.06972539992252</v>
      </c>
      <c r="J703">
        <f t="shared" si="65"/>
        <v>1.0906972539992252</v>
      </c>
    </row>
    <row r="704" spans="1:10" x14ac:dyDescent="0.2">
      <c r="A704" s="2"/>
      <c r="B704" s="2"/>
      <c r="C704" s="2">
        <v>1</v>
      </c>
      <c r="D704" s="2">
        <v>1</v>
      </c>
      <c r="E704">
        <f t="shared" si="61"/>
        <v>115.49999999999963</v>
      </c>
      <c r="F704">
        <f t="shared" si="66"/>
        <v>1.9249999999999938</v>
      </c>
      <c r="G704">
        <f t="shared" si="62"/>
        <v>34.773145806107223</v>
      </c>
      <c r="H704">
        <f t="shared" si="63"/>
        <v>31.990991336839677</v>
      </c>
      <c r="I704">
        <f t="shared" si="64"/>
        <v>108.69668101239401</v>
      </c>
      <c r="J704">
        <f t="shared" si="65"/>
        <v>1.08696681012394</v>
      </c>
    </row>
    <row r="705" spans="1:10" x14ac:dyDescent="0.2">
      <c r="A705" s="2"/>
      <c r="B705" s="2"/>
      <c r="C705" s="2">
        <v>1</v>
      </c>
      <c r="D705" s="2">
        <v>1</v>
      </c>
      <c r="E705">
        <f t="shared" si="61"/>
        <v>115.6666666666663</v>
      </c>
      <c r="F705">
        <f t="shared" si="66"/>
        <v>1.9277777777777716</v>
      </c>
      <c r="G705">
        <f t="shared" si="62"/>
        <v>34.665610964420722</v>
      </c>
      <c r="H705">
        <f t="shared" si="63"/>
        <v>31.990991336839677</v>
      </c>
      <c r="I705">
        <f t="shared" si="64"/>
        <v>108.36054000146301</v>
      </c>
      <c r="J705">
        <f t="shared" si="65"/>
        <v>1.08360540001463</v>
      </c>
    </row>
    <row r="706" spans="1:10" x14ac:dyDescent="0.2">
      <c r="A706" s="2"/>
      <c r="B706" s="2"/>
      <c r="C706" s="2">
        <v>1</v>
      </c>
      <c r="D706" s="2">
        <v>1</v>
      </c>
      <c r="E706">
        <f t="shared" si="61"/>
        <v>115.83333333333296</v>
      </c>
      <c r="F706">
        <f t="shared" si="66"/>
        <v>1.9305555555555494</v>
      </c>
      <c r="G706">
        <f t="shared" si="62"/>
        <v>34.56871399557933</v>
      </c>
      <c r="H706">
        <f t="shared" si="63"/>
        <v>31.990991336839677</v>
      </c>
      <c r="I706">
        <f t="shared" si="64"/>
        <v>108.05765170450108</v>
      </c>
      <c r="J706">
        <f t="shared" si="65"/>
        <v>1.0805765170450108</v>
      </c>
    </row>
    <row r="707" spans="1:10" x14ac:dyDescent="0.2">
      <c r="A707" s="2"/>
      <c r="B707" s="2"/>
      <c r="C707" s="2">
        <v>1</v>
      </c>
      <c r="D707" s="2">
        <v>1</v>
      </c>
      <c r="E707">
        <f t="shared" si="61"/>
        <v>115.99999999999963</v>
      </c>
      <c r="F707">
        <f t="shared" si="66"/>
        <v>1.9333333333333271</v>
      </c>
      <c r="G707">
        <f t="shared" si="62"/>
        <v>34.481402549136504</v>
      </c>
      <c r="H707">
        <f t="shared" si="63"/>
        <v>31.990991336839677</v>
      </c>
      <c r="I707">
        <f t="shared" si="64"/>
        <v>107.78472660029436</v>
      </c>
      <c r="J707">
        <f t="shared" si="65"/>
        <v>1.0778472660029437</v>
      </c>
    </row>
    <row r="708" spans="1:10" x14ac:dyDescent="0.2">
      <c r="A708" s="2"/>
      <c r="B708" s="2"/>
      <c r="C708" s="2">
        <v>1</v>
      </c>
      <c r="D708" s="2">
        <v>1</v>
      </c>
      <c r="E708">
        <f t="shared" si="61"/>
        <v>116.16666666666629</v>
      </c>
      <c r="F708">
        <f t="shared" si="66"/>
        <v>1.9361111111111049</v>
      </c>
      <c r="G708">
        <f t="shared" si="62"/>
        <v>34.402728378302356</v>
      </c>
      <c r="H708">
        <f t="shared" si="63"/>
        <v>31.990991336839677</v>
      </c>
      <c r="I708">
        <f t="shared" si="64"/>
        <v>107.53880058316734</v>
      </c>
      <c r="J708">
        <f t="shared" si="65"/>
        <v>1.0753880058316734</v>
      </c>
    </row>
    <row r="709" spans="1:10" x14ac:dyDescent="0.2">
      <c r="A709" s="2"/>
      <c r="B709" s="2"/>
      <c r="C709" s="2">
        <v>1</v>
      </c>
      <c r="D709" s="2">
        <v>1</v>
      </c>
      <c r="E709">
        <f t="shared" si="61"/>
        <v>116.33333333333296</v>
      </c>
      <c r="F709">
        <f t="shared" si="66"/>
        <v>1.9388888888888827</v>
      </c>
      <c r="G709">
        <f t="shared" si="62"/>
        <v>34.331837041500442</v>
      </c>
      <c r="H709">
        <f t="shared" si="63"/>
        <v>31.990991336839677</v>
      </c>
      <c r="I709">
        <f t="shared" si="64"/>
        <v>107.31720277128495</v>
      </c>
      <c r="J709">
        <f t="shared" si="65"/>
        <v>1.0731720277128496</v>
      </c>
    </row>
    <row r="710" spans="1:10" x14ac:dyDescent="0.2">
      <c r="A710" s="2"/>
      <c r="B710" s="2"/>
      <c r="C710" s="2">
        <v>1</v>
      </c>
      <c r="D710" s="2">
        <v>1</v>
      </c>
      <c r="E710">
        <f t="shared" si="61"/>
        <v>116.49999999999963</v>
      </c>
      <c r="F710">
        <f t="shared" si="66"/>
        <v>1.9416666666666604</v>
      </c>
      <c r="G710">
        <f t="shared" si="62"/>
        <v>34.267958622696931</v>
      </c>
      <c r="H710">
        <f t="shared" si="63"/>
        <v>31.990991336839677</v>
      </c>
      <c r="I710">
        <f t="shared" si="64"/>
        <v>107.11752649951545</v>
      </c>
      <c r="J710">
        <f t="shared" si="65"/>
        <v>1.0711752649951545</v>
      </c>
    </row>
    <row r="711" spans="1:10" x14ac:dyDescent="0.2">
      <c r="A711" s="2"/>
      <c r="B711" s="2"/>
      <c r="C711" s="2">
        <v>1</v>
      </c>
      <c r="D711" s="2">
        <v>1</v>
      </c>
      <c r="E711">
        <f t="shared" si="61"/>
        <v>116.66666666666629</v>
      </c>
      <c r="F711">
        <f t="shared" si="66"/>
        <v>1.9444444444444382</v>
      </c>
      <c r="G711">
        <f t="shared" si="62"/>
        <v>34.21039936972025</v>
      </c>
      <c r="H711">
        <f t="shared" si="63"/>
        <v>31.990991336839677</v>
      </c>
      <c r="I711">
        <f t="shared" si="64"/>
        <v>106.93760318182071</v>
      </c>
      <c r="J711">
        <f t="shared" si="65"/>
        <v>1.0693760318182071</v>
      </c>
    </row>
    <row r="712" spans="1:10" x14ac:dyDescent="0.2">
      <c r="A712" s="2"/>
      <c r="B712" s="2"/>
      <c r="C712" s="2">
        <v>1</v>
      </c>
      <c r="D712" s="2">
        <v>1</v>
      </c>
      <c r="E712">
        <f t="shared" si="61"/>
        <v>116.83333333333296</v>
      </c>
      <c r="F712">
        <f t="shared" si="66"/>
        <v>1.947222222222216</v>
      </c>
      <c r="G712">
        <f t="shared" si="62"/>
        <v>34.15853415975905</v>
      </c>
      <c r="H712">
        <f t="shared" si="63"/>
        <v>31.990991336839677</v>
      </c>
      <c r="I712">
        <f t="shared" si="64"/>
        <v>106.77547875930718</v>
      </c>
      <c r="J712">
        <f t="shared" si="65"/>
        <v>1.0677547875930717</v>
      </c>
    </row>
    <row r="713" spans="1:10" x14ac:dyDescent="0.2">
      <c r="A713" s="2"/>
      <c r="B713" s="2"/>
      <c r="C713" s="2">
        <v>1</v>
      </c>
      <c r="D713" s="2">
        <v>1</v>
      </c>
      <c r="E713">
        <f t="shared" si="61"/>
        <v>116.99999999999963</v>
      </c>
      <c r="F713">
        <f t="shared" si="66"/>
        <v>1.9499999999999937</v>
      </c>
      <c r="G713">
        <f t="shared" si="62"/>
        <v>34.111799710210001</v>
      </c>
      <c r="H713">
        <f t="shared" si="63"/>
        <v>31.990991336839677</v>
      </c>
      <c r="I713">
        <f t="shared" si="64"/>
        <v>106.62939247815079</v>
      </c>
      <c r="J713">
        <f t="shared" si="65"/>
        <v>1.066293924781508</v>
      </c>
    </row>
    <row r="714" spans="1:10" x14ac:dyDescent="0.2">
      <c r="A714" s="2"/>
      <c r="B714" s="2"/>
      <c r="C714" s="2">
        <v>1</v>
      </c>
      <c r="D714" s="2">
        <v>1</v>
      </c>
      <c r="E714">
        <f t="shared" si="61"/>
        <v>117.16666666666629</v>
      </c>
      <c r="F714">
        <f t="shared" si="66"/>
        <v>1.9527777777777715</v>
      </c>
      <c r="G714">
        <f t="shared" si="62"/>
        <v>34.069688461141766</v>
      </c>
      <c r="H714">
        <f t="shared" si="63"/>
        <v>31.990991336839677</v>
      </c>
      <c r="I714">
        <f t="shared" si="64"/>
        <v>106.4977577669134</v>
      </c>
      <c r="J714">
        <f t="shared" si="65"/>
        <v>1.0649775776691339</v>
      </c>
    </row>
    <row r="715" spans="1:10" x14ac:dyDescent="0.2">
      <c r="A715" s="2"/>
      <c r="B715" s="2"/>
      <c r="C715" s="2">
        <v>1</v>
      </c>
      <c r="D715" s="2">
        <v>1</v>
      </c>
      <c r="E715">
        <f t="shared" si="61"/>
        <v>117.33333333333296</v>
      </c>
      <c r="F715">
        <f t="shared" si="66"/>
        <v>1.9555555555555493</v>
      </c>
      <c r="G715">
        <f t="shared" si="62"/>
        <v>34.031743062935554</v>
      </c>
      <c r="H715">
        <f t="shared" si="63"/>
        <v>31.990991336839677</v>
      </c>
      <c r="I715">
        <f t="shared" si="64"/>
        <v>106.37914500556856</v>
      </c>
      <c r="J715">
        <f t="shared" si="65"/>
        <v>1.0637914500556855</v>
      </c>
    </row>
    <row r="716" spans="1:10" x14ac:dyDescent="0.2">
      <c r="A716" s="2"/>
      <c r="B716" s="2"/>
      <c r="C716" s="2">
        <v>1</v>
      </c>
      <c r="D716" s="2">
        <v>1</v>
      </c>
      <c r="E716">
        <f t="shared" ref="E716:E779" si="67">F716*60</f>
        <v>117.49999999999962</v>
      </c>
      <c r="F716">
        <f t="shared" si="66"/>
        <v>1.958333333333327</v>
      </c>
      <c r="G716">
        <f t="shared" ref="G716:G767" si="68">Tsamp*$D716*G$3/G$5+G$8*G715</f>
        <v>33.99755140923525</v>
      </c>
      <c r="H716">
        <f t="shared" ref="H716:H767" si="69">$D716*$G$3/$G$6</f>
        <v>31.990991336839677</v>
      </c>
      <c r="I716">
        <f t="shared" ref="I716:I779" si="70">G716/H716*100</f>
        <v>106.27226599909984</v>
      </c>
      <c r="J716">
        <f t="shared" si="65"/>
        <v>1.0627226599909985</v>
      </c>
    </row>
    <row r="717" spans="1:10" x14ac:dyDescent="0.2">
      <c r="A717" s="2"/>
      <c r="B717" s="2"/>
      <c r="C717" s="2">
        <v>1</v>
      </c>
      <c r="D717" s="2">
        <v>1</v>
      </c>
      <c r="E717">
        <f t="shared" si="67"/>
        <v>117.66666666666629</v>
      </c>
      <c r="F717">
        <f t="shared" si="66"/>
        <v>1.9611111111111048</v>
      </c>
      <c r="G717">
        <f t="shared" si="68"/>
        <v>33.966742161262466</v>
      </c>
      <c r="H717">
        <f t="shared" si="69"/>
        <v>31.990991336839677</v>
      </c>
      <c r="I717">
        <f t="shared" si="70"/>
        <v>106.17595998704668</v>
      </c>
      <c r="J717">
        <f t="shared" ref="J717:J767" si="71">($I717/100)*$D717</f>
        <v>1.0617595998704668</v>
      </c>
    </row>
    <row r="718" spans="1:10" x14ac:dyDescent="0.2">
      <c r="A718" s="2"/>
      <c r="B718" s="2"/>
      <c r="C718" s="2">
        <v>1</v>
      </c>
      <c r="D718" s="2">
        <v>1</v>
      </c>
      <c r="E718">
        <f t="shared" si="67"/>
        <v>117.83333333333296</v>
      </c>
      <c r="F718">
        <f t="shared" si="66"/>
        <v>1.9638888888888826</v>
      </c>
      <c r="G718">
        <f t="shared" si="68"/>
        <v>33.938980714888196</v>
      </c>
      <c r="H718">
        <f t="shared" si="69"/>
        <v>31.990991336839677</v>
      </c>
      <c r="I718">
        <f t="shared" si="70"/>
        <v>106.08918103705427</v>
      </c>
      <c r="J718">
        <f t="shared" si="71"/>
        <v>1.0608918103705427</v>
      </c>
    </row>
    <row r="719" spans="1:10" x14ac:dyDescent="0.2">
      <c r="A719" s="2"/>
      <c r="B719" s="2"/>
      <c r="C719" s="2">
        <v>1</v>
      </c>
      <c r="D719" s="2">
        <v>1</v>
      </c>
      <c r="E719">
        <f t="shared" si="67"/>
        <v>117.99999999999962</v>
      </c>
      <c r="F719">
        <f t="shared" si="66"/>
        <v>1.9666666666666603</v>
      </c>
      <c r="G719">
        <f t="shared" si="68"/>
        <v>33.913965566661524</v>
      </c>
      <c r="H719">
        <f t="shared" si="69"/>
        <v>31.990991336839677</v>
      </c>
      <c r="I719">
        <f t="shared" si="70"/>
        <v>106.01098668551549</v>
      </c>
      <c r="J719">
        <f t="shared" si="71"/>
        <v>1.060109866855155</v>
      </c>
    </row>
    <row r="720" spans="1:10" x14ac:dyDescent="0.2">
      <c r="A720" s="2"/>
      <c r="B720" s="2"/>
      <c r="C720" s="2">
        <v>1</v>
      </c>
      <c r="D720" s="2">
        <v>1</v>
      </c>
      <c r="E720">
        <f t="shared" si="67"/>
        <v>118.16666666666629</v>
      </c>
      <c r="F720">
        <f t="shared" si="66"/>
        <v>1.9694444444444381</v>
      </c>
      <c r="G720">
        <f t="shared" si="68"/>
        <v>33.891425039328539</v>
      </c>
      <c r="H720">
        <f t="shared" si="69"/>
        <v>31.990991336839677</v>
      </c>
      <c r="I720">
        <f t="shared" si="70"/>
        <v>105.94052770193585</v>
      </c>
      <c r="J720">
        <f t="shared" si="71"/>
        <v>1.0594052770193585</v>
      </c>
    </row>
    <row r="721" spans="1:10" x14ac:dyDescent="0.2">
      <c r="A721" s="2"/>
      <c r="B721" s="2"/>
      <c r="C721" s="2">
        <v>1</v>
      </c>
      <c r="D721" s="2">
        <v>1</v>
      </c>
      <c r="E721">
        <f t="shared" si="67"/>
        <v>118.33333333333296</v>
      </c>
      <c r="F721">
        <f t="shared" si="66"/>
        <v>1.9722222222222159</v>
      </c>
      <c r="G721">
        <f t="shared" si="68"/>
        <v>33.87111433127896</v>
      </c>
      <c r="H721">
        <f t="shared" si="69"/>
        <v>31.990991336839677</v>
      </c>
      <c r="I721">
        <f t="shared" si="70"/>
        <v>105.87703886585784</v>
      </c>
      <c r="J721">
        <f t="shared" si="71"/>
        <v>1.0587703886585784</v>
      </c>
    </row>
    <row r="722" spans="1:10" x14ac:dyDescent="0.2">
      <c r="A722" s="2"/>
      <c r="B722" s="2"/>
      <c r="C722" s="2">
        <v>1</v>
      </c>
      <c r="D722" s="2">
        <v>1</v>
      </c>
      <c r="E722">
        <f t="shared" si="67"/>
        <v>118.49999999999962</v>
      </c>
      <c r="F722">
        <f t="shared" si="66"/>
        <v>1.9749999999999936</v>
      </c>
      <c r="G722">
        <f t="shared" si="68"/>
        <v>33.852812857875911</v>
      </c>
      <c r="H722">
        <f t="shared" si="69"/>
        <v>31.990991336839677</v>
      </c>
      <c r="I722">
        <f t="shared" si="70"/>
        <v>105.81983065617673</v>
      </c>
      <c r="J722">
        <f t="shared" si="71"/>
        <v>1.0581983065617673</v>
      </c>
    </row>
    <row r="723" spans="1:10" x14ac:dyDescent="0.2">
      <c r="A723" s="2"/>
      <c r="B723" s="2"/>
      <c r="C723" s="2">
        <v>1</v>
      </c>
      <c r="D723" s="2">
        <v>1</v>
      </c>
      <c r="E723">
        <f t="shared" si="67"/>
        <v>118.66666666666629</v>
      </c>
      <c r="F723">
        <f t="shared" si="66"/>
        <v>1.9777777777777714</v>
      </c>
      <c r="G723">
        <f t="shared" si="68"/>
        <v>33.836321855794402</v>
      </c>
      <c r="H723">
        <f t="shared" si="69"/>
        <v>31.990991336839677</v>
      </c>
      <c r="I723">
        <f t="shared" si="70"/>
        <v>105.76828176259016</v>
      </c>
      <c r="J723">
        <f t="shared" si="71"/>
        <v>1.0576828176259017</v>
      </c>
    </row>
    <row r="724" spans="1:10" x14ac:dyDescent="0.2">
      <c r="A724" s="2"/>
      <c r="B724" s="2"/>
      <c r="C724" s="2">
        <v>1</v>
      </c>
      <c r="D724" s="2">
        <v>1</v>
      </c>
      <c r="E724">
        <f t="shared" si="67"/>
        <v>118.83333333333294</v>
      </c>
      <c r="F724">
        <f t="shared" si="66"/>
        <v>1.9805555555555492</v>
      </c>
      <c r="G724">
        <f t="shared" si="68"/>
        <v>33.821462224350356</v>
      </c>
      <c r="H724">
        <f t="shared" si="69"/>
        <v>31.990991336839677</v>
      </c>
      <c r="I724">
        <f t="shared" si="70"/>
        <v>105.72183233785186</v>
      </c>
      <c r="J724">
        <f t="shared" si="71"/>
        <v>1.0572183233785186</v>
      </c>
    </row>
    <row r="725" spans="1:10" x14ac:dyDescent="0.2">
      <c r="A725" s="2"/>
      <c r="B725" s="2"/>
      <c r="C725" s="2">
        <v>1</v>
      </c>
      <c r="D725" s="2">
        <v>1</v>
      </c>
      <c r="E725">
        <f t="shared" si="67"/>
        <v>118.99999999999962</v>
      </c>
      <c r="F725">
        <f t="shared" si="66"/>
        <v>1.983333333333327</v>
      </c>
      <c r="G725">
        <f t="shared" si="68"/>
        <v>33.808072580375935</v>
      </c>
      <c r="H725">
        <f t="shared" si="69"/>
        <v>31.990991336839677</v>
      </c>
      <c r="I725">
        <f t="shared" si="70"/>
        <v>105.67997791754509</v>
      </c>
      <c r="J725">
        <f t="shared" si="71"/>
        <v>1.0567997791754509</v>
      </c>
    </row>
    <row r="726" spans="1:10" x14ac:dyDescent="0.2">
      <c r="A726" s="2"/>
      <c r="B726" s="2"/>
      <c r="C726" s="2">
        <v>1</v>
      </c>
      <c r="D726" s="2">
        <v>1</v>
      </c>
      <c r="E726">
        <f t="shared" si="67"/>
        <v>119.16666666666629</v>
      </c>
      <c r="F726">
        <f t="shared" si="66"/>
        <v>1.9861111111111047</v>
      </c>
      <c r="G726">
        <f t="shared" si="68"/>
        <v>33.796007505516108</v>
      </c>
      <c r="H726">
        <f t="shared" si="69"/>
        <v>31.990991336839677</v>
      </c>
      <c r="I726">
        <f t="shared" si="70"/>
        <v>105.64226394134226</v>
      </c>
      <c r="J726">
        <f t="shared" si="71"/>
        <v>1.0564226394134226</v>
      </c>
    </row>
    <row r="727" spans="1:10" x14ac:dyDescent="0.2">
      <c r="A727" s="2"/>
      <c r="B727" s="2"/>
      <c r="C727" s="2">
        <v>1</v>
      </c>
      <c r="D727" s="2">
        <v>1</v>
      </c>
      <c r="E727">
        <f t="shared" si="67"/>
        <v>119.33333333333294</v>
      </c>
      <c r="F727">
        <f t="shared" si="66"/>
        <v>1.9888888888888825</v>
      </c>
      <c r="G727">
        <f t="shared" si="68"/>
        <v>33.785135966911255</v>
      </c>
      <c r="H727">
        <f t="shared" si="69"/>
        <v>31.990991336839677</v>
      </c>
      <c r="I727">
        <f t="shared" si="70"/>
        <v>105.60828081624811</v>
      </c>
      <c r="J727">
        <f t="shared" si="71"/>
        <v>1.0560828081624811</v>
      </c>
    </row>
    <row r="728" spans="1:10" x14ac:dyDescent="0.2">
      <c r="A728" s="2"/>
      <c r="B728" s="2"/>
      <c r="C728" s="2">
        <v>1</v>
      </c>
      <c r="D728" s="2">
        <v>1</v>
      </c>
      <c r="E728">
        <f t="shared" si="67"/>
        <v>119.49999999999962</v>
      </c>
      <c r="F728">
        <f t="shared" si="66"/>
        <v>1.9916666666666603</v>
      </c>
      <c r="G728">
        <f t="shared" si="68"/>
        <v>33.775339894113536</v>
      </c>
      <c r="H728">
        <f t="shared" si="69"/>
        <v>31.990991336839677</v>
      </c>
      <c r="I728">
        <f t="shared" si="70"/>
        <v>105.57765946821118</v>
      </c>
      <c r="J728">
        <f t="shared" si="71"/>
        <v>1.0557765946821118</v>
      </c>
    </row>
    <row r="729" spans="1:10" x14ac:dyDescent="0.2">
      <c r="A729" s="2"/>
      <c r="B729" s="2"/>
      <c r="C729" s="2">
        <v>1</v>
      </c>
      <c r="D729" s="2">
        <v>1</v>
      </c>
      <c r="E729">
        <f t="shared" si="67"/>
        <v>119.66666666666629</v>
      </c>
      <c r="F729">
        <f t="shared" si="66"/>
        <v>1.994444444444438</v>
      </c>
      <c r="G729">
        <f t="shared" si="68"/>
        <v>33.766512896781677</v>
      </c>
      <c r="H729">
        <f t="shared" si="69"/>
        <v>31.990991336839677</v>
      </c>
      <c r="I729">
        <f t="shared" si="70"/>
        <v>105.55006733379149</v>
      </c>
      <c r="J729">
        <f t="shared" si="71"/>
        <v>1.0555006733379149</v>
      </c>
    </row>
    <row r="730" spans="1:10" x14ac:dyDescent="0.2">
      <c r="A730" s="2"/>
      <c r="B730" s="2"/>
      <c r="C730" s="2">
        <v>1</v>
      </c>
      <c r="D730" s="2">
        <v>1</v>
      </c>
      <c r="E730">
        <f t="shared" si="67"/>
        <v>119.83333333333294</v>
      </c>
      <c r="F730">
        <f t="shared" si="66"/>
        <v>1.9972222222222158</v>
      </c>
      <c r="G730">
        <f t="shared" si="68"/>
        <v>33.758559109227669</v>
      </c>
      <c r="H730">
        <f t="shared" si="69"/>
        <v>31.990991336839677</v>
      </c>
      <c r="I730">
        <f t="shared" si="70"/>
        <v>105.52520474835214</v>
      </c>
      <c r="J730">
        <f t="shared" si="71"/>
        <v>1.0552520474835214</v>
      </c>
    </row>
    <row r="731" spans="1:10" x14ac:dyDescent="0.2">
      <c r="A731" s="2"/>
      <c r="B731" s="2"/>
      <c r="C731" s="2">
        <v>0.5</v>
      </c>
      <c r="D731" s="2">
        <v>0.5</v>
      </c>
      <c r="E731">
        <f t="shared" si="67"/>
        <v>119.99999999999962</v>
      </c>
      <c r="F731">
        <f t="shared" si="66"/>
        <v>1.9999999999999936</v>
      </c>
      <c r="G731">
        <f t="shared" si="68"/>
        <v>32.085194683806158</v>
      </c>
      <c r="H731">
        <f t="shared" si="69"/>
        <v>15.995495668419839</v>
      </c>
      <c r="I731">
        <f t="shared" si="70"/>
        <v>200.58893671643116</v>
      </c>
      <c r="J731">
        <f t="shared" si="71"/>
        <v>1.0029446835821558</v>
      </c>
    </row>
    <row r="732" spans="1:10" x14ac:dyDescent="0.2">
      <c r="A732" s="2"/>
      <c r="B732" s="2"/>
      <c r="C732" s="2">
        <v>0.5</v>
      </c>
      <c r="D732" s="2">
        <v>0.5</v>
      </c>
      <c r="E732">
        <f t="shared" si="67"/>
        <v>120.16666666666629</v>
      </c>
      <c r="F732">
        <f t="shared" si="66"/>
        <v>2.0027777777777716</v>
      </c>
      <c r="G732">
        <f t="shared" si="68"/>
        <v>30.577367657259224</v>
      </c>
      <c r="H732">
        <f t="shared" si="69"/>
        <v>15.995495668419839</v>
      </c>
      <c r="I732">
        <f t="shared" si="70"/>
        <v>191.16236402494613</v>
      </c>
      <c r="J732">
        <f t="shared" si="71"/>
        <v>0.95581182012473065</v>
      </c>
    </row>
    <row r="733" spans="1:10" x14ac:dyDescent="0.2">
      <c r="A733" s="2"/>
      <c r="B733" s="2"/>
      <c r="C733" s="2">
        <v>0.5</v>
      </c>
      <c r="D733" s="2">
        <v>0.5</v>
      </c>
      <c r="E733">
        <f t="shared" si="67"/>
        <v>120.33333333333296</v>
      </c>
      <c r="F733">
        <f t="shared" si="66"/>
        <v>2.0055555555555493</v>
      </c>
      <c r="G733">
        <f t="shared" si="68"/>
        <v>29.218702259904024</v>
      </c>
      <c r="H733">
        <f t="shared" si="69"/>
        <v>15.995495668419839</v>
      </c>
      <c r="I733">
        <f t="shared" si="70"/>
        <v>182.66831404037683</v>
      </c>
      <c r="J733">
        <f t="shared" si="71"/>
        <v>0.91334157020188411</v>
      </c>
    </row>
    <row r="734" spans="1:10" x14ac:dyDescent="0.2">
      <c r="A734" s="2"/>
      <c r="B734" s="2"/>
      <c r="C734" s="2">
        <v>0.5</v>
      </c>
      <c r="D734" s="2">
        <v>0.5</v>
      </c>
      <c r="E734">
        <f t="shared" si="67"/>
        <v>120.49999999999963</v>
      </c>
      <c r="F734">
        <f t="shared" si="66"/>
        <v>2.0083333333333271</v>
      </c>
      <c r="G734">
        <f t="shared" si="68"/>
        <v>27.994442693342329</v>
      </c>
      <c r="H734">
        <f t="shared" si="69"/>
        <v>15.995495668419839</v>
      </c>
      <c r="I734">
        <f t="shared" si="70"/>
        <v>175.01453705252911</v>
      </c>
      <c r="J734">
        <f t="shared" si="71"/>
        <v>0.87507268526264559</v>
      </c>
    </row>
    <row r="735" spans="1:10" x14ac:dyDescent="0.2">
      <c r="A735" s="2"/>
      <c r="B735" s="2"/>
      <c r="C735" s="2">
        <v>0.5</v>
      </c>
      <c r="D735" s="2">
        <v>0.5</v>
      </c>
      <c r="E735">
        <f t="shared" si="67"/>
        <v>120.66666666666629</v>
      </c>
      <c r="F735">
        <f t="shared" si="66"/>
        <v>2.0111111111111049</v>
      </c>
      <c r="G735">
        <f t="shared" si="68"/>
        <v>26.89129287497245</v>
      </c>
      <c r="H735">
        <f t="shared" si="69"/>
        <v>15.995495668419839</v>
      </c>
      <c r="I735">
        <f t="shared" si="70"/>
        <v>168.11790914403707</v>
      </c>
      <c r="J735">
        <f t="shared" si="71"/>
        <v>0.8405895457201854</v>
      </c>
    </row>
    <row r="736" spans="1:10" x14ac:dyDescent="0.2">
      <c r="A736" s="2"/>
      <c r="B736" s="2"/>
      <c r="C736" s="2">
        <v>0.5</v>
      </c>
      <c r="D736" s="2">
        <v>0.5</v>
      </c>
      <c r="E736">
        <f t="shared" si="67"/>
        <v>120.83333333333296</v>
      </c>
      <c r="F736">
        <f t="shared" si="66"/>
        <v>2.0138888888888826</v>
      </c>
      <c r="G736">
        <f t="shared" si="68"/>
        <v>25.897272035758387</v>
      </c>
      <c r="H736">
        <f t="shared" si="69"/>
        <v>15.995495668419839</v>
      </c>
      <c r="I736">
        <f t="shared" si="70"/>
        <v>161.90352942227219</v>
      </c>
      <c r="J736">
        <f t="shared" si="71"/>
        <v>0.80951764711136098</v>
      </c>
    </row>
    <row r="737" spans="1:10" x14ac:dyDescent="0.2">
      <c r="A737" s="2"/>
      <c r="B737" s="2"/>
      <c r="C737" s="2">
        <v>0.5</v>
      </c>
      <c r="D737" s="2">
        <v>0.5</v>
      </c>
      <c r="E737">
        <f t="shared" si="67"/>
        <v>120.99999999999963</v>
      </c>
      <c r="F737">
        <f t="shared" si="66"/>
        <v>2.0166666666666604</v>
      </c>
      <c r="G737">
        <f t="shared" si="68"/>
        <v>25.001584602974411</v>
      </c>
      <c r="H737">
        <f t="shared" si="69"/>
        <v>15.995495668419839</v>
      </c>
      <c r="I737">
        <f t="shared" si="70"/>
        <v>156.30390655749068</v>
      </c>
      <c r="J737">
        <f t="shared" si="71"/>
        <v>0.78151953278745334</v>
      </c>
    </row>
    <row r="738" spans="1:10" x14ac:dyDescent="0.2">
      <c r="A738" s="2"/>
      <c r="B738" s="2"/>
      <c r="C738" s="2">
        <v>0.5</v>
      </c>
      <c r="D738" s="2">
        <v>0.5</v>
      </c>
      <c r="E738">
        <f t="shared" si="67"/>
        <v>121.16666666666629</v>
      </c>
      <c r="F738">
        <f t="shared" si="66"/>
        <v>2.0194444444444382</v>
      </c>
      <c r="G738">
        <f t="shared" si="68"/>
        <v>24.194502954785357</v>
      </c>
      <c r="H738">
        <f t="shared" si="69"/>
        <v>15.995495668419839</v>
      </c>
      <c r="I738">
        <f t="shared" si="70"/>
        <v>151.25822579260827</v>
      </c>
      <c r="J738">
        <f t="shared" si="71"/>
        <v>0.7562911289630414</v>
      </c>
    </row>
    <row r="739" spans="1:10" x14ac:dyDescent="0.2">
      <c r="A739" s="2"/>
      <c r="B739" s="2"/>
      <c r="C739" s="2">
        <v>0.5</v>
      </c>
      <c r="D739" s="2">
        <v>0.5</v>
      </c>
      <c r="E739">
        <f t="shared" si="67"/>
        <v>121.33333333333296</v>
      </c>
      <c r="F739">
        <f t="shared" si="66"/>
        <v>2.0222222222222159</v>
      </c>
      <c r="G739">
        <f t="shared" si="68"/>
        <v>23.467261773317691</v>
      </c>
      <c r="H739">
        <f t="shared" si="69"/>
        <v>15.995495668419839</v>
      </c>
      <c r="I739">
        <f t="shared" si="70"/>
        <v>146.71168846395602</v>
      </c>
      <c r="J739">
        <f t="shared" si="71"/>
        <v>0.73355844231978007</v>
      </c>
    </row>
    <row r="740" spans="1:10" x14ac:dyDescent="0.2">
      <c r="A740" s="2"/>
      <c r="B740" s="2"/>
      <c r="C740" s="2">
        <v>0.5</v>
      </c>
      <c r="D740" s="2">
        <v>0.5</v>
      </c>
      <c r="E740">
        <f t="shared" si="67"/>
        <v>121.49999999999962</v>
      </c>
      <c r="F740">
        <f t="shared" si="66"/>
        <v>2.0249999999999937</v>
      </c>
      <c r="G740">
        <f t="shared" si="68"/>
        <v>22.811962848841841</v>
      </c>
      <c r="H740">
        <f t="shared" si="69"/>
        <v>15.995495668419839</v>
      </c>
      <c r="I740">
        <f t="shared" si="70"/>
        <v>142.61491685987488</v>
      </c>
      <c r="J740">
        <f t="shared" si="71"/>
        <v>0.71307458429937443</v>
      </c>
    </row>
    <row r="741" spans="1:10" x14ac:dyDescent="0.2">
      <c r="A741" s="2"/>
      <c r="B741" s="2"/>
      <c r="C741" s="2">
        <v>0.5</v>
      </c>
      <c r="D741" s="2">
        <v>0.5</v>
      </c>
      <c r="E741">
        <f t="shared" si="67"/>
        <v>121.66666666666629</v>
      </c>
      <c r="F741">
        <f t="shared" si="66"/>
        <v>2.0277777777777715</v>
      </c>
      <c r="G741">
        <f t="shared" si="68"/>
        <v>22.221489301190715</v>
      </c>
      <c r="H741">
        <f t="shared" si="69"/>
        <v>15.995495668419839</v>
      </c>
      <c r="I741">
        <f t="shared" si="70"/>
        <v>138.92341795361151</v>
      </c>
      <c r="J741">
        <f t="shared" si="71"/>
        <v>0.69461708976805747</v>
      </c>
    </row>
    <row r="742" spans="1:10" x14ac:dyDescent="0.2">
      <c r="A742" s="2"/>
      <c r="B742" s="2"/>
      <c r="C742" s="2">
        <v>0.5</v>
      </c>
      <c r="D742" s="2">
        <v>0.5</v>
      </c>
      <c r="E742">
        <f t="shared" si="67"/>
        <v>121.83333333333296</v>
      </c>
      <c r="F742">
        <f t="shared" si="66"/>
        <v>2.0305555555555492</v>
      </c>
      <c r="G742">
        <f t="shared" si="68"/>
        <v>21.68942828681535</v>
      </c>
      <c r="H742">
        <f t="shared" si="69"/>
        <v>15.995495668419839</v>
      </c>
      <c r="I742">
        <f t="shared" si="70"/>
        <v>135.59710018638017</v>
      </c>
      <c r="J742">
        <f t="shared" si="71"/>
        <v>0.67798550093190091</v>
      </c>
    </row>
    <row r="743" spans="1:10" x14ac:dyDescent="0.2">
      <c r="A743" s="2"/>
      <c r="B743" s="2"/>
      <c r="C743" s="2">
        <v>0.5</v>
      </c>
      <c r="D743" s="2">
        <v>0.5</v>
      </c>
      <c r="E743">
        <f t="shared" si="67"/>
        <v>121.99999999999962</v>
      </c>
      <c r="F743">
        <f t="shared" si="66"/>
        <v>2.033333333333327</v>
      </c>
      <c r="G743">
        <f t="shared" si="68"/>
        <v>21.21000135203689</v>
      </c>
      <c r="H743">
        <f t="shared" si="69"/>
        <v>15.995495668419839</v>
      </c>
      <c r="I743">
        <f t="shared" si="70"/>
        <v>132.59983805260958</v>
      </c>
      <c r="J743">
        <f t="shared" si="71"/>
        <v>0.66299919026304788</v>
      </c>
    </row>
    <row r="744" spans="1:10" x14ac:dyDescent="0.2">
      <c r="A744" s="2"/>
      <c r="B744" s="2"/>
      <c r="C744" s="2">
        <v>0.5</v>
      </c>
      <c r="D744" s="2">
        <v>0.5</v>
      </c>
      <c r="E744">
        <f t="shared" si="67"/>
        <v>122.16666666666629</v>
      </c>
      <c r="F744">
        <f t="shared" si="66"/>
        <v>2.0361111111111048</v>
      </c>
      <c r="G744">
        <f t="shared" si="68"/>
        <v>20.778001676095755</v>
      </c>
      <c r="H744">
        <f t="shared" si="69"/>
        <v>15.995495668419839</v>
      </c>
      <c r="I744">
        <f t="shared" si="70"/>
        <v>129.89907975854786</v>
      </c>
      <c r="J744">
        <f t="shared" si="71"/>
        <v>0.64949539879273932</v>
      </c>
    </row>
    <row r="745" spans="1:10" x14ac:dyDescent="0.2">
      <c r="A745" s="2"/>
      <c r="B745" s="2"/>
      <c r="C745" s="2">
        <v>0.5</v>
      </c>
      <c r="D745" s="2">
        <v>0.5</v>
      </c>
      <c r="E745">
        <f t="shared" si="67"/>
        <v>122.33333333333294</v>
      </c>
      <c r="F745">
        <f t="shared" si="66"/>
        <v>2.0388888888888825</v>
      </c>
      <c r="G745">
        <f t="shared" si="68"/>
        <v>20.388737522425533</v>
      </c>
      <c r="H745">
        <f t="shared" si="69"/>
        <v>15.995495668419839</v>
      </c>
      <c r="I745">
        <f t="shared" si="70"/>
        <v>127.46549369319852</v>
      </c>
      <c r="J745">
        <f t="shared" si="71"/>
        <v>0.63732746846599264</v>
      </c>
    </row>
    <row r="746" spans="1:10" x14ac:dyDescent="0.2">
      <c r="A746" s="2"/>
      <c r="B746" s="2"/>
      <c r="C746" s="2">
        <v>0.5</v>
      </c>
      <c r="D746" s="2">
        <v>0.5</v>
      </c>
      <c r="E746">
        <f t="shared" si="67"/>
        <v>122.49999999999962</v>
      </c>
      <c r="F746">
        <f t="shared" si="66"/>
        <v>2.0416666666666603</v>
      </c>
      <c r="G746">
        <f t="shared" si="68"/>
        <v>20.037981284003632</v>
      </c>
      <c r="H746">
        <f t="shared" si="69"/>
        <v>15.995495668419839</v>
      </c>
      <c r="I746">
        <f t="shared" si="70"/>
        <v>125.27264987208201</v>
      </c>
      <c r="J746">
        <f t="shared" si="71"/>
        <v>0.6263632493604101</v>
      </c>
    </row>
    <row r="747" spans="1:10" x14ac:dyDescent="0.2">
      <c r="A747" s="2"/>
      <c r="B747" s="2"/>
      <c r="C747" s="2">
        <v>0.5</v>
      </c>
      <c r="D747" s="2">
        <v>0.5</v>
      </c>
      <c r="E747">
        <f t="shared" si="67"/>
        <v>122.66666666666629</v>
      </c>
      <c r="F747">
        <f t="shared" si="66"/>
        <v>2.0444444444444381</v>
      </c>
      <c r="G747">
        <f t="shared" si="68"/>
        <v>19.721923569385215</v>
      </c>
      <c r="H747">
        <f t="shared" si="69"/>
        <v>15.995495668419839</v>
      </c>
      <c r="I747">
        <f t="shared" si="70"/>
        <v>123.29673289413921</v>
      </c>
      <c r="J747">
        <f t="shared" si="71"/>
        <v>0.61648366447069602</v>
      </c>
    </row>
    <row r="748" spans="1:10" x14ac:dyDescent="0.2">
      <c r="A748" s="2"/>
      <c r="B748" s="2"/>
      <c r="C748" s="2">
        <v>0.5</v>
      </c>
      <c r="D748" s="2">
        <v>0.5</v>
      </c>
      <c r="E748">
        <f t="shared" si="67"/>
        <v>122.83333333333294</v>
      </c>
      <c r="F748">
        <f t="shared" si="66"/>
        <v>2.0472222222222158</v>
      </c>
      <c r="G748">
        <f t="shared" si="68"/>
        <v>19.437131830771396</v>
      </c>
      <c r="H748">
        <f t="shared" si="69"/>
        <v>15.995495668419839</v>
      </c>
      <c r="I748">
        <f t="shared" si="70"/>
        <v>121.51628329434287</v>
      </c>
      <c r="J748">
        <f t="shared" si="71"/>
        <v>0.60758141647171438</v>
      </c>
    </row>
    <row r="749" spans="1:10" x14ac:dyDescent="0.2">
      <c r="A749" s="2"/>
      <c r="B749" s="2"/>
      <c r="C749" s="2">
        <v>0.5</v>
      </c>
      <c r="D749" s="2">
        <v>0.5</v>
      </c>
      <c r="E749">
        <f t="shared" si="67"/>
        <v>122.99999999999962</v>
      </c>
      <c r="F749">
        <f t="shared" si="66"/>
        <v>2.0499999999999936</v>
      </c>
      <c r="G749">
        <f t="shared" si="68"/>
        <v>19.180513084791396</v>
      </c>
      <c r="H749">
        <f t="shared" si="69"/>
        <v>15.995495668419839</v>
      </c>
      <c r="I749">
        <f t="shared" si="70"/>
        <v>119.91196448297497</v>
      </c>
      <c r="J749">
        <f t="shared" si="71"/>
        <v>0.59955982241487482</v>
      </c>
    </row>
    <row r="750" spans="1:10" x14ac:dyDescent="0.2">
      <c r="A750" s="2"/>
      <c r="B750" s="2"/>
      <c r="C750" s="2">
        <v>0.5</v>
      </c>
      <c r="D750" s="2">
        <v>0.5</v>
      </c>
      <c r="E750">
        <f t="shared" si="67"/>
        <v>123.16666666666629</v>
      </c>
      <c r="F750">
        <f t="shared" si="66"/>
        <v>2.0527777777777714</v>
      </c>
      <c r="G750">
        <f t="shared" si="68"/>
        <v>18.949280321127404</v>
      </c>
      <c r="H750">
        <f t="shared" si="69"/>
        <v>15.995495668419839</v>
      </c>
      <c r="I750">
        <f t="shared" si="70"/>
        <v>118.46635274041097</v>
      </c>
      <c r="J750">
        <f t="shared" si="71"/>
        <v>0.59233176370205487</v>
      </c>
    </row>
    <row r="751" spans="1:10" x14ac:dyDescent="0.2">
      <c r="A751" s="2"/>
      <c r="B751" s="2"/>
      <c r="C751" s="2">
        <v>0.5</v>
      </c>
      <c r="D751" s="2">
        <v>0.5</v>
      </c>
      <c r="E751">
        <f t="shared" si="67"/>
        <v>123.33333333333294</v>
      </c>
      <c r="F751">
        <f t="shared" si="66"/>
        <v>2.0555555555555491</v>
      </c>
      <c r="G751">
        <f t="shared" si="68"/>
        <v>18.740922234162646</v>
      </c>
      <c r="H751">
        <f t="shared" si="69"/>
        <v>15.995495668419839</v>
      </c>
      <c r="I751">
        <f t="shared" si="70"/>
        <v>117.16374798664819</v>
      </c>
      <c r="J751">
        <f t="shared" si="71"/>
        <v>0.58581873993324096</v>
      </c>
    </row>
    <row r="752" spans="1:10" x14ac:dyDescent="0.2">
      <c r="A752" s="2"/>
      <c r="B752" s="2"/>
      <c r="C752" s="2">
        <v>0.5</v>
      </c>
      <c r="D752" s="2">
        <v>0.5</v>
      </c>
      <c r="E752">
        <f t="shared" si="67"/>
        <v>123.49999999999962</v>
      </c>
      <c r="F752">
        <f t="shared" si="66"/>
        <v>2.0583333333333269</v>
      </c>
      <c r="G752">
        <f t="shared" si="68"/>
        <v>18.553175948922991</v>
      </c>
      <c r="H752">
        <f t="shared" si="69"/>
        <v>15.995495668419839</v>
      </c>
      <c r="I752">
        <f t="shared" si="70"/>
        <v>115.99000327043831</v>
      </c>
      <c r="J752">
        <f t="shared" si="71"/>
        <v>0.57995001635219157</v>
      </c>
    </row>
    <row r="753" spans="1:10" x14ac:dyDescent="0.2">
      <c r="A753" s="2"/>
      <c r="B753" s="2"/>
      <c r="C753" s="2">
        <v>0.5</v>
      </c>
      <c r="D753" s="2">
        <v>0.5</v>
      </c>
      <c r="E753">
        <f t="shared" si="67"/>
        <v>123.66666666666629</v>
      </c>
      <c r="F753">
        <f t="shared" ref="F753:F767" si="72">Tsamp+F752</f>
        <v>2.0611111111111047</v>
      </c>
      <c r="G753">
        <f t="shared" si="68"/>
        <v>18.384002445101888</v>
      </c>
      <c r="H753">
        <f t="shared" si="69"/>
        <v>15.995495668419839</v>
      </c>
      <c r="I753">
        <f t="shared" si="70"/>
        <v>114.93237112618971</v>
      </c>
      <c r="J753">
        <f t="shared" si="71"/>
        <v>0.57466185563094851</v>
      </c>
    </row>
    <row r="754" spans="1:10" x14ac:dyDescent="0.2">
      <c r="A754" s="2"/>
      <c r="B754" s="2"/>
      <c r="C754" s="2">
        <v>0.5</v>
      </c>
      <c r="D754" s="2">
        <v>0.5</v>
      </c>
      <c r="E754">
        <f t="shared" si="67"/>
        <v>123.83333333333294</v>
      </c>
      <c r="F754">
        <f t="shared" si="72"/>
        <v>2.0638888888888824</v>
      </c>
      <c r="G754">
        <f t="shared" si="68"/>
        <v>18.231564412261047</v>
      </c>
      <c r="H754">
        <f t="shared" si="69"/>
        <v>15.995495668419839</v>
      </c>
      <c r="I754">
        <f t="shared" si="70"/>
        <v>113.97936512999665</v>
      </c>
      <c r="J754">
        <f t="shared" si="71"/>
        <v>0.56989682564998323</v>
      </c>
    </row>
    <row r="755" spans="1:10" x14ac:dyDescent="0.2">
      <c r="A755" s="2"/>
      <c r="B755" s="2"/>
      <c r="C755" s="2">
        <v>0.5</v>
      </c>
      <c r="D755" s="2">
        <v>0.5</v>
      </c>
      <c r="E755">
        <f t="shared" si="67"/>
        <v>123.99999999999962</v>
      </c>
      <c r="F755">
        <f t="shared" si="72"/>
        <v>2.0666666666666602</v>
      </c>
      <c r="G755">
        <f t="shared" si="68"/>
        <v>18.094206295703042</v>
      </c>
      <c r="H755">
        <f t="shared" si="69"/>
        <v>15.995495668419839</v>
      </c>
      <c r="I755">
        <f t="shared" si="70"/>
        <v>113.12063515122399</v>
      </c>
      <c r="J755">
        <f t="shared" si="71"/>
        <v>0.56560317575611996</v>
      </c>
    </row>
    <row r="756" spans="1:10" x14ac:dyDescent="0.2">
      <c r="A756" s="2"/>
      <c r="B756" s="2"/>
      <c r="C756" s="2">
        <v>0.5</v>
      </c>
      <c r="D756" s="2">
        <v>0.5</v>
      </c>
      <c r="E756">
        <f t="shared" si="67"/>
        <v>124.16666666666627</v>
      </c>
      <c r="F756">
        <f t="shared" si="72"/>
        <v>2.069444444444438</v>
      </c>
      <c r="G756">
        <f t="shared" si="68"/>
        <v>17.970436316303861</v>
      </c>
      <c r="H756">
        <f t="shared" si="69"/>
        <v>15.995495668419839</v>
      </c>
      <c r="I756">
        <f t="shared" si="70"/>
        <v>112.34685494481536</v>
      </c>
      <c r="J756">
        <f t="shared" si="71"/>
        <v>0.56173427472407678</v>
      </c>
    </row>
    <row r="757" spans="1:10" x14ac:dyDescent="0.2">
      <c r="A757" s="2"/>
      <c r="B757" s="2"/>
      <c r="C757" s="2">
        <v>0.5</v>
      </c>
      <c r="D757" s="2">
        <v>0.5</v>
      </c>
      <c r="E757">
        <f t="shared" si="67"/>
        <v>124.33333333333294</v>
      </c>
      <c r="F757">
        <f t="shared" si="72"/>
        <v>2.0722222222222157</v>
      </c>
      <c r="G757">
        <f t="shared" si="68"/>
        <v>17.858910269031622</v>
      </c>
      <c r="H757">
        <f t="shared" si="69"/>
        <v>15.995495668419839</v>
      </c>
      <c r="I757">
        <f t="shared" si="70"/>
        <v>111.64962086352068</v>
      </c>
      <c r="J757">
        <f t="shared" si="71"/>
        <v>0.55824810431760341</v>
      </c>
    </row>
    <row r="758" spans="1:10" x14ac:dyDescent="0.2">
      <c r="A758" s="2"/>
      <c r="B758" s="2"/>
      <c r="C758" s="2">
        <v>0.5</v>
      </c>
      <c r="D758" s="2">
        <v>0.5</v>
      </c>
      <c r="E758">
        <f t="shared" si="67"/>
        <v>124.49999999999962</v>
      </c>
      <c r="F758">
        <f t="shared" si="72"/>
        <v>2.0749999999999935</v>
      </c>
      <c r="G758">
        <f t="shared" si="68"/>
        <v>17.75841692419511</v>
      </c>
      <c r="H758">
        <f t="shared" si="69"/>
        <v>15.995495668419839</v>
      </c>
      <c r="I758">
        <f t="shared" si="70"/>
        <v>111.02136059000556</v>
      </c>
      <c r="J758">
        <f t="shared" si="71"/>
        <v>0.55510680295002779</v>
      </c>
    </row>
    <row r="759" spans="1:10" x14ac:dyDescent="0.2">
      <c r="A759" s="2"/>
      <c r="B759" s="2"/>
      <c r="C759" s="2">
        <v>0.5</v>
      </c>
      <c r="D759" s="2">
        <v>0.5</v>
      </c>
      <c r="E759">
        <f t="shared" si="67"/>
        <v>124.66666666666627</v>
      </c>
      <c r="F759">
        <f t="shared" si="72"/>
        <v>2.0777777777777713</v>
      </c>
      <c r="G759">
        <f t="shared" si="68"/>
        <v>17.667864872872265</v>
      </c>
      <c r="H759">
        <f t="shared" si="69"/>
        <v>15.995495668419839</v>
      </c>
      <c r="I759">
        <f t="shared" si="70"/>
        <v>110.45525089762747</v>
      </c>
      <c r="J759">
        <f t="shared" si="71"/>
        <v>0.55227625448813733</v>
      </c>
    </row>
    <row r="760" spans="1:10" x14ac:dyDescent="0.2">
      <c r="A760" s="2"/>
      <c r="B760" s="2"/>
      <c r="C760" s="2">
        <v>0.5</v>
      </c>
      <c r="D760" s="2">
        <v>0.5</v>
      </c>
      <c r="E760">
        <f t="shared" si="67"/>
        <v>124.83333333333294</v>
      </c>
      <c r="F760">
        <f t="shared" si="72"/>
        <v>2.0805555555555491</v>
      </c>
      <c r="G760">
        <f t="shared" si="68"/>
        <v>17.586270673653253</v>
      </c>
      <c r="H760">
        <f t="shared" si="69"/>
        <v>15.995495668419839</v>
      </c>
      <c r="I760">
        <f t="shared" si="70"/>
        <v>109.945143546718</v>
      </c>
      <c r="J760">
        <f t="shared" si="71"/>
        <v>0.54972571773359002</v>
      </c>
    </row>
    <row r="761" spans="1:10" x14ac:dyDescent="0.2">
      <c r="A761" s="2"/>
      <c r="B761" s="2"/>
      <c r="C761" s="2">
        <v>0.5</v>
      </c>
      <c r="D761" s="2">
        <v>0.5</v>
      </c>
      <c r="E761">
        <f t="shared" si="67"/>
        <v>124.9999999999996</v>
      </c>
      <c r="F761">
        <f t="shared" si="72"/>
        <v>2.0833333333333268</v>
      </c>
      <c r="G761">
        <f t="shared" si="68"/>
        <v>17.512748171965736</v>
      </c>
      <c r="H761">
        <f t="shared" si="69"/>
        <v>15.995495668419839</v>
      </c>
      <c r="I761">
        <f t="shared" si="70"/>
        <v>109.48549851156805</v>
      </c>
      <c r="J761">
        <f t="shared" si="71"/>
        <v>0.54742749255784029</v>
      </c>
    </row>
    <row r="762" spans="1:10" x14ac:dyDescent="0.2">
      <c r="A762" s="2"/>
      <c r="B762" s="2"/>
      <c r="C762" s="2">
        <v>0.5</v>
      </c>
      <c r="D762" s="2">
        <v>0.5</v>
      </c>
      <c r="E762">
        <f t="shared" si="67"/>
        <v>125.16666666666627</v>
      </c>
      <c r="F762">
        <f t="shared" si="72"/>
        <v>2.0861111111111046</v>
      </c>
      <c r="G762">
        <f t="shared" si="68"/>
        <v>17.446498875984766</v>
      </c>
      <c r="H762">
        <f t="shared" si="69"/>
        <v>15.995495668419839</v>
      </c>
      <c r="I762">
        <f t="shared" si="70"/>
        <v>109.07132381292608</v>
      </c>
      <c r="J762">
        <f t="shared" si="71"/>
        <v>0.5453566190646304</v>
      </c>
    </row>
    <row r="763" spans="1:10" x14ac:dyDescent="0.2">
      <c r="A763" s="2"/>
      <c r="B763" s="2"/>
      <c r="C763" s="2">
        <v>0.5</v>
      </c>
      <c r="D763" s="2">
        <v>0.5</v>
      </c>
      <c r="E763">
        <f t="shared" si="67"/>
        <v>125.33333333333294</v>
      </c>
      <c r="F763">
        <f t="shared" si="72"/>
        <v>2.0888888888888824</v>
      </c>
      <c r="G763">
        <f t="shared" si="68"/>
        <v>17.386803284604749</v>
      </c>
      <c r="H763">
        <f t="shared" si="69"/>
        <v>15.995495668419839</v>
      </c>
      <c r="I763">
        <f t="shared" si="70"/>
        <v>108.69812130256014</v>
      </c>
      <c r="J763">
        <f t="shared" si="71"/>
        <v>0.54349060651280068</v>
      </c>
    </row>
    <row r="764" spans="1:10" x14ac:dyDescent="0.2">
      <c r="A764" s="2"/>
      <c r="B764" s="2"/>
      <c r="C764" s="2">
        <v>0.5</v>
      </c>
      <c r="D764" s="2">
        <v>0.5</v>
      </c>
      <c r="E764">
        <f t="shared" si="67"/>
        <v>125.4999999999996</v>
      </c>
      <c r="F764">
        <f t="shared" si="72"/>
        <v>2.0916666666666601</v>
      </c>
      <c r="G764">
        <f t="shared" si="68"/>
        <v>17.333013073290907</v>
      </c>
      <c r="H764">
        <f t="shared" si="69"/>
        <v>15.995495668419839</v>
      </c>
      <c r="I764">
        <f t="shared" si="70"/>
        <v>108.36183781107671</v>
      </c>
      <c r="J764">
        <f t="shared" si="71"/>
        <v>0.54180918905538356</v>
      </c>
    </row>
    <row r="765" spans="1:10" x14ac:dyDescent="0.2">
      <c r="A765" s="2"/>
      <c r="B765" s="2"/>
      <c r="C765" s="2">
        <v>0.5</v>
      </c>
      <c r="D765" s="2">
        <v>0.5</v>
      </c>
      <c r="E765">
        <f t="shared" si="67"/>
        <v>125.66666666666627</v>
      </c>
      <c r="F765">
        <f t="shared" si="72"/>
        <v>2.0944444444444379</v>
      </c>
      <c r="G765">
        <f t="shared" si="68"/>
        <v>17.284544052944515</v>
      </c>
      <c r="H765">
        <f t="shared" si="69"/>
        <v>15.995495668419839</v>
      </c>
      <c r="I765">
        <f t="shared" si="70"/>
        <v>108.05882112843597</v>
      </c>
      <c r="J765">
        <f t="shared" si="71"/>
        <v>0.54029410564217983</v>
      </c>
    </row>
    <row r="766" spans="1:10" x14ac:dyDescent="0.2">
      <c r="A766" s="2"/>
      <c r="B766" s="2"/>
      <c r="C766" s="2">
        <v>0.5</v>
      </c>
      <c r="D766" s="2">
        <v>0.5</v>
      </c>
      <c r="E766">
        <f t="shared" si="67"/>
        <v>125.83333333333294</v>
      </c>
      <c r="F766">
        <f t="shared" si="72"/>
        <v>2.0972222222222157</v>
      </c>
      <c r="G766">
        <f t="shared" si="68"/>
        <v>17.240869825311684</v>
      </c>
      <c r="H766">
        <f t="shared" si="69"/>
        <v>15.995495668419839</v>
      </c>
      <c r="I766">
        <f t="shared" si="70"/>
        <v>107.78578033909012</v>
      </c>
      <c r="J766">
        <f t="shared" si="71"/>
        <v>0.5389289016954506</v>
      </c>
    </row>
    <row r="767" spans="1:10" x14ac:dyDescent="0.2">
      <c r="A767" s="2"/>
      <c r="B767" s="2"/>
      <c r="C767" s="2">
        <v>0.5</v>
      </c>
      <c r="D767" s="2">
        <v>0.5</v>
      </c>
      <c r="E767">
        <f t="shared" si="67"/>
        <v>125.9999999999996</v>
      </c>
      <c r="F767">
        <f t="shared" si="72"/>
        <v>2.0999999999999934</v>
      </c>
      <c r="G767">
        <f t="shared" si="68"/>
        <v>17.201516066030134</v>
      </c>
      <c r="H767">
        <f t="shared" si="69"/>
        <v>15.995495668419839</v>
      </c>
      <c r="I767">
        <f t="shared" si="70"/>
        <v>107.5397500809641</v>
      </c>
      <c r="J767">
        <f t="shared" si="71"/>
        <v>0.53769875040482051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Final</vt:lpstr>
      <vt:lpstr>Final!Tsamp</vt:lpstr>
      <vt:lpstr>Final!Wtkg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Adam, Amal Mohamoud</dc:creator>
  <cp:lastModifiedBy>Adam, Amal Mohamoud</cp:lastModifiedBy>
  <dcterms:created xsi:type="dcterms:W3CDTF">2024-12-12T17:51:52Z</dcterms:created>
  <dcterms:modified xsi:type="dcterms:W3CDTF">2024-12-13T05:30:07Z</dcterms:modified>
</cp:coreProperties>
</file>