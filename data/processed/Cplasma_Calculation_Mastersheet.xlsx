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al/Desktop/"/>
    </mc:Choice>
  </mc:AlternateContent>
  <xr:revisionPtr revIDLastSave="0" documentId="13_ncr:1_{4F5777CB-AD6B-5E49-9D10-FAFC47952ADC}" xr6:coauthVersionLast="47" xr6:coauthVersionMax="47" xr10:uidLastSave="{00000000-0000-0000-0000-000000000000}"/>
  <bookViews>
    <workbookView xWindow="1600" yWindow="500" windowWidth="23580" windowHeight="15820" xr2:uid="{37F98FBC-34BE-AB49-9A49-5E1402AFB01C}"/>
  </bookViews>
  <sheets>
    <sheet name="Value Calculation" sheetId="6" r:id="rId1"/>
  </sheets>
  <definedNames>
    <definedName name="Tsamp" localSheetId="0">'Value Calculation'!$C$2</definedName>
    <definedName name="Wtkg" localSheetId="0">'Value Calculation'!$A$7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" i="6" l="1"/>
  <c r="O7" i="6"/>
  <c r="N7" i="6"/>
  <c r="M7" i="6"/>
  <c r="O6" i="6"/>
  <c r="N6" i="6"/>
  <c r="A7" i="6"/>
  <c r="G6" i="6" s="1"/>
  <c r="M6" i="6" l="1"/>
  <c r="L11" i="6"/>
  <c r="C2" i="6"/>
  <c r="F12" i="6" s="1"/>
  <c r="E12" i="6" l="1"/>
  <c r="F13" i="6"/>
  <c r="P6" i="6"/>
  <c r="M5" i="6"/>
  <c r="O5" i="6"/>
  <c r="P5" i="6"/>
  <c r="G5" i="6"/>
  <c r="G7" i="6" s="1"/>
  <c r="G8" i="6" s="1"/>
  <c r="I27" i="6" s="1"/>
  <c r="N5" i="6"/>
  <c r="E13" i="6"/>
  <c r="I531" i="6" l="1"/>
  <c r="I331" i="6"/>
  <c r="I260" i="6"/>
  <c r="I213" i="6"/>
  <c r="I74" i="6"/>
  <c r="I43" i="6"/>
  <c r="I23" i="6"/>
  <c r="I315" i="6"/>
  <c r="I607" i="6"/>
  <c r="I405" i="6"/>
  <c r="I309" i="6"/>
  <c r="I658" i="6"/>
  <c r="I323" i="6"/>
  <c r="I317" i="6"/>
  <c r="I587" i="6"/>
  <c r="I479" i="6"/>
  <c r="I99" i="6"/>
  <c r="I325" i="6"/>
  <c r="I165" i="6"/>
  <c r="I103" i="6"/>
  <c r="I695" i="6"/>
  <c r="I187" i="6"/>
  <c r="I173" i="6"/>
  <c r="I117" i="6"/>
  <c r="I85" i="6"/>
  <c r="I149" i="6"/>
  <c r="I66" i="6"/>
  <c r="I37" i="6"/>
  <c r="I407" i="6"/>
  <c r="I240" i="6"/>
  <c r="I69" i="6"/>
  <c r="I31" i="6"/>
  <c r="I142" i="6"/>
  <c r="I107" i="6"/>
  <c r="I42" i="6"/>
  <c r="I77" i="6"/>
  <c r="I156" i="6"/>
  <c r="I22" i="6"/>
  <c r="I741" i="6"/>
  <c r="I739" i="6"/>
  <c r="I621" i="6"/>
  <c r="I626" i="6"/>
  <c r="I505" i="6"/>
  <c r="I614" i="6"/>
  <c r="I527" i="6"/>
  <c r="I470" i="6"/>
  <c r="I547" i="6"/>
  <c r="I402" i="6"/>
  <c r="I515" i="6"/>
  <c r="I400" i="6"/>
  <c r="I153" i="6"/>
  <c r="I471" i="6"/>
  <c r="I274" i="6"/>
  <c r="I146" i="6"/>
  <c r="I443" i="6"/>
  <c r="I172" i="6"/>
  <c r="I269" i="6"/>
  <c r="I749" i="6"/>
  <c r="I718" i="6"/>
  <c r="I683" i="6"/>
  <c r="I754" i="6"/>
  <c r="I719" i="6"/>
  <c r="I688" i="6"/>
  <c r="I673" i="6"/>
  <c r="I676" i="6"/>
  <c r="I740" i="6"/>
  <c r="I751" i="6"/>
  <c r="I428" i="6"/>
  <c r="I565" i="6"/>
  <c r="I618" i="6"/>
  <c r="I532" i="6"/>
  <c r="I456" i="6"/>
  <c r="I419" i="6"/>
  <c r="I511" i="6"/>
  <c r="I289" i="6"/>
  <c r="I398" i="6"/>
  <c r="I367" i="6"/>
  <c r="I326" i="6"/>
  <c r="I282" i="6"/>
  <c r="I90" i="6"/>
  <c r="I285" i="6"/>
  <c r="I254" i="6"/>
  <c r="I219" i="6"/>
  <c r="I84" i="6"/>
  <c r="I272" i="6"/>
  <c r="I17" i="6"/>
  <c r="I191" i="6"/>
  <c r="I303" i="6"/>
  <c r="I440" i="6"/>
  <c r="I138" i="6"/>
  <c r="I250" i="6"/>
  <c r="I345" i="6"/>
  <c r="I499" i="6"/>
  <c r="I321" i="6"/>
  <c r="I540" i="6"/>
  <c r="I403" i="6"/>
  <c r="I378" i="6"/>
  <c r="I635" i="6"/>
  <c r="I460" i="6"/>
  <c r="I594" i="6"/>
  <c r="I568" i="6"/>
  <c r="I681" i="6"/>
  <c r="I604" i="6"/>
  <c r="I758" i="6"/>
  <c r="I717" i="6"/>
  <c r="I622" i="6"/>
  <c r="I46" i="6"/>
  <c r="I351" i="6"/>
  <c r="I625" i="6"/>
  <c r="I241" i="6"/>
  <c r="I297" i="6"/>
  <c r="I753" i="6"/>
  <c r="I379" i="6"/>
  <c r="I549" i="6"/>
  <c r="I430" i="6"/>
  <c r="I574" i="6"/>
  <c r="I727" i="6"/>
  <c r="I539" i="6"/>
  <c r="I498" i="6"/>
  <c r="I704" i="6"/>
  <c r="I655" i="6"/>
  <c r="I650" i="6"/>
  <c r="I488" i="6"/>
  <c r="I544" i="6"/>
  <c r="I662" i="6"/>
  <c r="I653" i="6"/>
  <c r="I636" i="6"/>
  <c r="I678" i="6"/>
  <c r="I693" i="6"/>
  <c r="I381" i="6"/>
  <c r="I236" i="6"/>
  <c r="I141" i="6"/>
  <c r="I70" i="6"/>
  <c r="G12" i="6"/>
  <c r="F14" i="6"/>
  <c r="I202" i="6"/>
  <c r="I314" i="6"/>
  <c r="I365" i="6"/>
  <c r="I465" i="6"/>
  <c r="I129" i="6"/>
  <c r="I273" i="6"/>
  <c r="I336" i="6"/>
  <c r="I570" i="6"/>
  <c r="I506" i="6"/>
  <c r="I664" i="6"/>
  <c r="I330" i="6"/>
  <c r="I386" i="6"/>
  <c r="I451" i="6"/>
  <c r="I647" i="6"/>
  <c r="I468" i="6"/>
  <c r="I609" i="6"/>
  <c r="I657" i="6"/>
  <c r="I696" i="6"/>
  <c r="I520" i="6"/>
  <c r="I579" i="6"/>
  <c r="I711" i="6"/>
  <c r="I597" i="6"/>
  <c r="I705" i="6"/>
  <c r="I715" i="6"/>
  <c r="I766" i="6"/>
  <c r="I372" i="6"/>
  <c r="I139" i="6"/>
  <c r="I373" i="6"/>
  <c r="I634" i="6"/>
  <c r="I234" i="6"/>
  <c r="I409" i="6"/>
  <c r="I474" i="6"/>
  <c r="I249" i="6"/>
  <c r="I305" i="6"/>
  <c r="I422" i="6"/>
  <c r="I360" i="6"/>
  <c r="I416" i="6"/>
  <c r="I464" i="6"/>
  <c r="I744" i="6"/>
  <c r="I458" i="6"/>
  <c r="I503" i="6"/>
  <c r="I649" i="6"/>
  <c r="I418" i="6"/>
  <c r="I438" i="6"/>
  <c r="I583" i="6"/>
  <c r="I656" i="6"/>
  <c r="I453" i="6"/>
  <c r="I444" i="6"/>
  <c r="I615" i="6"/>
  <c r="I496" i="6"/>
  <c r="I552" i="6"/>
  <c r="I585" i="6"/>
  <c r="I670" i="6"/>
  <c r="I721" i="6"/>
  <c r="I745" i="6"/>
  <c r="I644" i="6"/>
  <c r="I691" i="6"/>
  <c r="I742" i="6"/>
  <c r="I757" i="6"/>
  <c r="I425" i="6"/>
  <c r="I267" i="6"/>
  <c r="H764" i="6"/>
  <c r="H756" i="6"/>
  <c r="H748" i="6"/>
  <c r="H740" i="6"/>
  <c r="H732" i="6"/>
  <c r="H724" i="6"/>
  <c r="H716" i="6"/>
  <c r="H708" i="6"/>
  <c r="H700" i="6"/>
  <c r="H692" i="6"/>
  <c r="H684" i="6"/>
  <c r="H676" i="6"/>
  <c r="H765" i="6"/>
  <c r="H757" i="6"/>
  <c r="H749" i="6"/>
  <c r="H741" i="6"/>
  <c r="H733" i="6"/>
  <c r="H725" i="6"/>
  <c r="H717" i="6"/>
  <c r="H709" i="6"/>
  <c r="H701" i="6"/>
  <c r="H693" i="6"/>
  <c r="H685" i="6"/>
  <c r="H677" i="6"/>
  <c r="H762" i="6"/>
  <c r="H754" i="6"/>
  <c r="H746" i="6"/>
  <c r="H738" i="6"/>
  <c r="H730" i="6"/>
  <c r="H722" i="6"/>
  <c r="H714" i="6"/>
  <c r="H706" i="6"/>
  <c r="H698" i="6"/>
  <c r="H690" i="6"/>
  <c r="H682" i="6"/>
  <c r="H674" i="6"/>
  <c r="H760" i="6"/>
  <c r="H758" i="6"/>
  <c r="H729" i="6"/>
  <c r="H727" i="6"/>
  <c r="H707" i="6"/>
  <c r="H696" i="6"/>
  <c r="H694" i="6"/>
  <c r="H667" i="6"/>
  <c r="H659" i="6"/>
  <c r="H651" i="6"/>
  <c r="H643" i="6"/>
  <c r="H635" i="6"/>
  <c r="H627" i="6"/>
  <c r="H619" i="6"/>
  <c r="H611" i="6"/>
  <c r="H603" i="6"/>
  <c r="H595" i="6"/>
  <c r="H587" i="6"/>
  <c r="H579" i="6"/>
  <c r="H767" i="6"/>
  <c r="H747" i="6"/>
  <c r="H736" i="6"/>
  <c r="H734" i="6"/>
  <c r="H705" i="6"/>
  <c r="H703" i="6"/>
  <c r="H683" i="6"/>
  <c r="H672" i="6"/>
  <c r="H668" i="6"/>
  <c r="H660" i="6"/>
  <c r="H652" i="6"/>
  <c r="H644" i="6"/>
  <c r="H636" i="6"/>
  <c r="H628" i="6"/>
  <c r="H620" i="6"/>
  <c r="H612" i="6"/>
  <c r="H604" i="6"/>
  <c r="H596" i="6"/>
  <c r="H588" i="6"/>
  <c r="H580" i="6"/>
  <c r="H745" i="6"/>
  <c r="H743" i="6"/>
  <c r="H723" i="6"/>
  <c r="H712" i="6"/>
  <c r="H710" i="6"/>
  <c r="H681" i="6"/>
  <c r="H679" i="6"/>
  <c r="H669" i="6"/>
  <c r="H661" i="6"/>
  <c r="H653" i="6"/>
  <c r="H645" i="6"/>
  <c r="H637" i="6"/>
  <c r="H761" i="6"/>
  <c r="H752" i="6"/>
  <c r="H691" i="6"/>
  <c r="H665" i="6"/>
  <c r="H663" i="6"/>
  <c r="H634" i="6"/>
  <c r="H614" i="6"/>
  <c r="H608" i="6"/>
  <c r="H602" i="6"/>
  <c r="H582" i="6"/>
  <c r="H575" i="6"/>
  <c r="H567" i="6"/>
  <c r="H559" i="6"/>
  <c r="H551" i="6"/>
  <c r="H543" i="6"/>
  <c r="H535" i="6"/>
  <c r="H527" i="6"/>
  <c r="H519" i="6"/>
  <c r="H511" i="6"/>
  <c r="H503" i="6"/>
  <c r="H495" i="6"/>
  <c r="H487" i="6"/>
  <c r="H755" i="6"/>
  <c r="H720" i="6"/>
  <c r="H711" i="6"/>
  <c r="H702" i="6"/>
  <c r="H699" i="6"/>
  <c r="H673" i="6"/>
  <c r="H670" i="6"/>
  <c r="H641" i="6"/>
  <c r="H639" i="6"/>
  <c r="H629" i="6"/>
  <c r="H623" i="6"/>
  <c r="H617" i="6"/>
  <c r="H597" i="6"/>
  <c r="H591" i="6"/>
  <c r="H585" i="6"/>
  <c r="H568" i="6"/>
  <c r="H560" i="6"/>
  <c r="H552" i="6"/>
  <c r="H544" i="6"/>
  <c r="H536" i="6"/>
  <c r="H528" i="6"/>
  <c r="H520" i="6"/>
  <c r="H512" i="6"/>
  <c r="H504" i="6"/>
  <c r="H766" i="6"/>
  <c r="H763" i="6"/>
  <c r="H737" i="6"/>
  <c r="H728" i="6"/>
  <c r="H719" i="6"/>
  <c r="H650" i="6"/>
  <c r="H648" i="6"/>
  <c r="H646" i="6"/>
  <c r="H632" i="6"/>
  <c r="H626" i="6"/>
  <c r="H606" i="6"/>
  <c r="H600" i="6"/>
  <c r="H594" i="6"/>
  <c r="H742" i="6"/>
  <c r="H695" i="6"/>
  <c r="H654" i="6"/>
  <c r="H621" i="6"/>
  <c r="H609" i="6"/>
  <c r="H592" i="6"/>
  <c r="H590" i="6"/>
  <c r="H586" i="6"/>
  <c r="H584" i="6"/>
  <c r="H578" i="6"/>
  <c r="H576" i="6"/>
  <c r="H573" i="6"/>
  <c r="H553" i="6"/>
  <c r="H547" i="6"/>
  <c r="H541" i="6"/>
  <c r="H521" i="6"/>
  <c r="H515" i="6"/>
  <c r="H509" i="6"/>
  <c r="H493" i="6"/>
  <c r="H489" i="6"/>
  <c r="H483" i="6"/>
  <c r="H475" i="6"/>
  <c r="H467" i="6"/>
  <c r="H459" i="6"/>
  <c r="H451" i="6"/>
  <c r="H443" i="6"/>
  <c r="H435" i="6"/>
  <c r="H751" i="6"/>
  <c r="H704" i="6"/>
  <c r="H662" i="6"/>
  <c r="H642" i="6"/>
  <c r="H631" i="6"/>
  <c r="H562" i="6"/>
  <c r="H556" i="6"/>
  <c r="H550" i="6"/>
  <c r="H530" i="6"/>
  <c r="H524" i="6"/>
  <c r="H518" i="6"/>
  <c r="H498" i="6"/>
  <c r="H484" i="6"/>
  <c r="H476" i="6"/>
  <c r="H468" i="6"/>
  <c r="H460" i="6"/>
  <c r="H452" i="6"/>
  <c r="H444" i="6"/>
  <c r="H436" i="6"/>
  <c r="H428" i="6"/>
  <c r="H750" i="6"/>
  <c r="H718" i="6"/>
  <c r="H713" i="6"/>
  <c r="H675" i="6"/>
  <c r="H671" i="6"/>
  <c r="H633" i="6"/>
  <c r="H616" i="6"/>
  <c r="H599" i="6"/>
  <c r="H571" i="6"/>
  <c r="H565" i="6"/>
  <c r="H545" i="6"/>
  <c r="H539" i="6"/>
  <c r="H533" i="6"/>
  <c r="H513" i="6"/>
  <c r="H507" i="6"/>
  <c r="H501" i="6"/>
  <c r="H494" i="6"/>
  <c r="H490" i="6"/>
  <c r="H485" i="6"/>
  <c r="H477" i="6"/>
  <c r="H469" i="6"/>
  <c r="H461" i="6"/>
  <c r="H453" i="6"/>
  <c r="H445" i="6"/>
  <c r="H437" i="6"/>
  <c r="H429" i="6"/>
  <c r="H735" i="6"/>
  <c r="H624" i="6"/>
  <c r="H593" i="6"/>
  <c r="H554" i="6"/>
  <c r="H542" i="6"/>
  <c r="H537" i="6"/>
  <c r="H525" i="6"/>
  <c r="H508" i="6"/>
  <c r="H496" i="6"/>
  <c r="H492" i="6"/>
  <c r="H473" i="6"/>
  <c r="H471" i="6"/>
  <c r="H442" i="6"/>
  <c r="H440" i="6"/>
  <c r="H438" i="6"/>
  <c r="H425" i="6"/>
  <c r="H417" i="6"/>
  <c r="H409" i="6"/>
  <c r="H401" i="6"/>
  <c r="H393" i="6"/>
  <c r="H385" i="6"/>
  <c r="H377" i="6"/>
  <c r="H369" i="6"/>
  <c r="H361" i="6"/>
  <c r="H353" i="6"/>
  <c r="H345" i="6"/>
  <c r="H337" i="6"/>
  <c r="H329" i="6"/>
  <c r="H726" i="6"/>
  <c r="H697" i="6"/>
  <c r="H689" i="6"/>
  <c r="H640" i="6"/>
  <c r="H615" i="6"/>
  <c r="H564" i="6"/>
  <c r="H522" i="6"/>
  <c r="H510" i="6"/>
  <c r="H505" i="6"/>
  <c r="H482" i="6"/>
  <c r="H480" i="6"/>
  <c r="H478" i="6"/>
  <c r="H449" i="6"/>
  <c r="H447" i="6"/>
  <c r="H426" i="6"/>
  <c r="H418" i="6"/>
  <c r="H410" i="6"/>
  <c r="H402" i="6"/>
  <c r="H394" i="6"/>
  <c r="H386" i="6"/>
  <c r="H378" i="6"/>
  <c r="H370" i="6"/>
  <c r="H362" i="6"/>
  <c r="H354" i="6"/>
  <c r="H346" i="6"/>
  <c r="H338" i="6"/>
  <c r="H753" i="6"/>
  <c r="H721" i="6"/>
  <c r="H715" i="6"/>
  <c r="H655" i="6"/>
  <c r="H625" i="6"/>
  <c r="H601" i="6"/>
  <c r="H583" i="6"/>
  <c r="H577" i="6"/>
  <c r="H572" i="6"/>
  <c r="H555" i="6"/>
  <c r="H538" i="6"/>
  <c r="H526" i="6"/>
  <c r="H486" i="6"/>
  <c r="H457" i="6"/>
  <c r="H455" i="6"/>
  <c r="H423" i="6"/>
  <c r="H415" i="6"/>
  <c r="H407" i="6"/>
  <c r="H399" i="6"/>
  <c r="H391" i="6"/>
  <c r="H383" i="6"/>
  <c r="H375" i="6"/>
  <c r="H367" i="6"/>
  <c r="H359" i="6"/>
  <c r="H739" i="6"/>
  <c r="H638" i="6"/>
  <c r="H613" i="6"/>
  <c r="H607" i="6"/>
  <c r="H574" i="6"/>
  <c r="H566" i="6"/>
  <c r="H531" i="6"/>
  <c r="H500" i="6"/>
  <c r="H466" i="6"/>
  <c r="H424" i="6"/>
  <c r="H413" i="6"/>
  <c r="H411" i="6"/>
  <c r="H382" i="6"/>
  <c r="H380" i="6"/>
  <c r="H360" i="6"/>
  <c r="H339" i="6"/>
  <c r="H333" i="6"/>
  <c r="H325" i="6"/>
  <c r="H320" i="6"/>
  <c r="H312" i="6"/>
  <c r="H304" i="6"/>
  <c r="H296" i="6"/>
  <c r="H288" i="6"/>
  <c r="H280" i="6"/>
  <c r="H272" i="6"/>
  <c r="H264" i="6"/>
  <c r="H256" i="6"/>
  <c r="H248" i="6"/>
  <c r="H240" i="6"/>
  <c r="H232" i="6"/>
  <c r="H224" i="6"/>
  <c r="H216" i="6"/>
  <c r="H208" i="6"/>
  <c r="H200" i="6"/>
  <c r="H192" i="6"/>
  <c r="H184" i="6"/>
  <c r="H176" i="6"/>
  <c r="H168" i="6"/>
  <c r="H160" i="6"/>
  <c r="H152" i="6"/>
  <c r="H144" i="6"/>
  <c r="H136" i="6"/>
  <c r="H128" i="6"/>
  <c r="H120" i="6"/>
  <c r="H678" i="6"/>
  <c r="H630" i="6"/>
  <c r="H618" i="6"/>
  <c r="H570" i="6"/>
  <c r="H546" i="6"/>
  <c r="H523" i="6"/>
  <c r="H448" i="6"/>
  <c r="H439" i="6"/>
  <c r="H430" i="6"/>
  <c r="H422" i="6"/>
  <c r="H420" i="6"/>
  <c r="H400" i="6"/>
  <c r="H389" i="6"/>
  <c r="H387" i="6"/>
  <c r="H358" i="6"/>
  <c r="H356" i="6"/>
  <c r="H348" i="6"/>
  <c r="H342" i="6"/>
  <c r="H336" i="6"/>
  <c r="H330" i="6"/>
  <c r="H321" i="6"/>
  <c r="H313" i="6"/>
  <c r="H305" i="6"/>
  <c r="H297" i="6"/>
  <c r="H289" i="6"/>
  <c r="H281" i="6"/>
  <c r="H273" i="6"/>
  <c r="H265" i="6"/>
  <c r="H257" i="6"/>
  <c r="H249" i="6"/>
  <c r="H241" i="6"/>
  <c r="H233" i="6"/>
  <c r="H225" i="6"/>
  <c r="H217" i="6"/>
  <c r="H209" i="6"/>
  <c r="H201" i="6"/>
  <c r="H193" i="6"/>
  <c r="H185" i="6"/>
  <c r="H177" i="6"/>
  <c r="H169" i="6"/>
  <c r="H161" i="6"/>
  <c r="H153" i="6"/>
  <c r="H145" i="6"/>
  <c r="H137" i="6"/>
  <c r="H129" i="6"/>
  <c r="H121" i="6"/>
  <c r="H113" i="6"/>
  <c r="H105" i="6"/>
  <c r="H97" i="6"/>
  <c r="H89" i="6"/>
  <c r="H81" i="6"/>
  <c r="H759" i="6"/>
  <c r="H744" i="6"/>
  <c r="H656" i="6"/>
  <c r="H563" i="6"/>
  <c r="H540" i="6"/>
  <c r="H532" i="6"/>
  <c r="H446" i="6"/>
  <c r="H408" i="6"/>
  <c r="H397" i="6"/>
  <c r="H395" i="6"/>
  <c r="H366" i="6"/>
  <c r="H364" i="6"/>
  <c r="H347" i="6"/>
  <c r="H341" i="6"/>
  <c r="H335" i="6"/>
  <c r="H328" i="6"/>
  <c r="H324" i="6"/>
  <c r="H318" i="6"/>
  <c r="H310" i="6"/>
  <c r="H302" i="6"/>
  <c r="H294" i="6"/>
  <c r="H286" i="6"/>
  <c r="H278" i="6"/>
  <c r="H270" i="6"/>
  <c r="H262" i="6"/>
  <c r="H254" i="6"/>
  <c r="H246" i="6"/>
  <c r="H238" i="6"/>
  <c r="H230" i="6"/>
  <c r="H222" i="6"/>
  <c r="H214" i="6"/>
  <c r="H206" i="6"/>
  <c r="H198" i="6"/>
  <c r="H190" i="6"/>
  <c r="H182" i="6"/>
  <c r="H174" i="6"/>
  <c r="H166" i="6"/>
  <c r="H158" i="6"/>
  <c r="H150" i="6"/>
  <c r="H142" i="6"/>
  <c r="H134" i="6"/>
  <c r="H126" i="6"/>
  <c r="H118" i="6"/>
  <c r="H680" i="6"/>
  <c r="H666" i="6"/>
  <c r="H581" i="6"/>
  <c r="H561" i="6"/>
  <c r="H549" i="6"/>
  <c r="H506" i="6"/>
  <c r="H499" i="6"/>
  <c r="H479" i="6"/>
  <c r="H474" i="6"/>
  <c r="H432" i="6"/>
  <c r="H427" i="6"/>
  <c r="H404" i="6"/>
  <c r="H398" i="6"/>
  <c r="H352" i="6"/>
  <c r="H309" i="6"/>
  <c r="H307" i="6"/>
  <c r="H287" i="6"/>
  <c r="H276" i="6"/>
  <c r="H274" i="6"/>
  <c r="H245" i="6"/>
  <c r="H243" i="6"/>
  <c r="H223" i="6"/>
  <c r="H212" i="6"/>
  <c r="H210" i="6"/>
  <c r="H181" i="6"/>
  <c r="H179" i="6"/>
  <c r="H159" i="6"/>
  <c r="H148" i="6"/>
  <c r="H146" i="6"/>
  <c r="H117" i="6"/>
  <c r="H115" i="6"/>
  <c r="H109" i="6"/>
  <c r="H96" i="6"/>
  <c r="H92" i="6"/>
  <c r="H79" i="6"/>
  <c r="H71" i="6"/>
  <c r="H63" i="6"/>
  <c r="H55" i="6"/>
  <c r="H47" i="6"/>
  <c r="H39" i="6"/>
  <c r="H31" i="6"/>
  <c r="H23" i="6"/>
  <c r="H15" i="6"/>
  <c r="H664" i="6"/>
  <c r="H610" i="6"/>
  <c r="H598" i="6"/>
  <c r="H589" i="6"/>
  <c r="H488" i="6"/>
  <c r="H441" i="6"/>
  <c r="H392" i="6"/>
  <c r="H357" i="6"/>
  <c r="H349" i="6"/>
  <c r="H332" i="6"/>
  <c r="H316" i="6"/>
  <c r="H314" i="6"/>
  <c r="H285" i="6"/>
  <c r="H283" i="6"/>
  <c r="H263" i="6"/>
  <c r="H252" i="6"/>
  <c r="H250" i="6"/>
  <c r="H221" i="6"/>
  <c r="H219" i="6"/>
  <c r="H199" i="6"/>
  <c r="H188" i="6"/>
  <c r="H186" i="6"/>
  <c r="H157" i="6"/>
  <c r="H155" i="6"/>
  <c r="H135" i="6"/>
  <c r="H124" i="6"/>
  <c r="H122" i="6"/>
  <c r="H101" i="6"/>
  <c r="H88" i="6"/>
  <c r="H84" i="6"/>
  <c r="H72" i="6"/>
  <c r="H64" i="6"/>
  <c r="H56" i="6"/>
  <c r="H48" i="6"/>
  <c r="H40" i="6"/>
  <c r="H32" i="6"/>
  <c r="H24" i="6"/>
  <c r="H16" i="6"/>
  <c r="H686" i="6"/>
  <c r="H657" i="6"/>
  <c r="H569" i="6"/>
  <c r="H557" i="6"/>
  <c r="H456" i="6"/>
  <c r="H433" i="6"/>
  <c r="H355" i="6"/>
  <c r="H350" i="6"/>
  <c r="H340" i="6"/>
  <c r="H322" i="6"/>
  <c r="H293" i="6"/>
  <c r="H291" i="6"/>
  <c r="H271" i="6"/>
  <c r="H260" i="6"/>
  <c r="H258" i="6"/>
  <c r="H229" i="6"/>
  <c r="H227" i="6"/>
  <c r="H207" i="6"/>
  <c r="H196" i="6"/>
  <c r="H194" i="6"/>
  <c r="H165" i="6"/>
  <c r="H163" i="6"/>
  <c r="H143" i="6"/>
  <c r="H132" i="6"/>
  <c r="H130" i="6"/>
  <c r="H112" i="6"/>
  <c r="H108" i="6"/>
  <c r="H95" i="6"/>
  <c r="H91" i="6"/>
  <c r="H77" i="6"/>
  <c r="H69" i="6"/>
  <c r="H61" i="6"/>
  <c r="H53" i="6"/>
  <c r="H45" i="6"/>
  <c r="H37" i="6"/>
  <c r="H29" i="6"/>
  <c r="H21" i="6"/>
  <c r="H13" i="6"/>
  <c r="H647" i="6"/>
  <c r="H502" i="6"/>
  <c r="H431" i="6"/>
  <c r="H416" i="6"/>
  <c r="H388" i="6"/>
  <c r="H301" i="6"/>
  <c r="H298" i="6"/>
  <c r="H292" i="6"/>
  <c r="H269" i="6"/>
  <c r="H231" i="6"/>
  <c r="H187" i="6"/>
  <c r="H178" i="6"/>
  <c r="H175" i="6"/>
  <c r="H149" i="6"/>
  <c r="H140" i="6"/>
  <c r="H131" i="6"/>
  <c r="H107" i="6"/>
  <c r="H103" i="6"/>
  <c r="H82" i="6"/>
  <c r="H78" i="6"/>
  <c r="H67" i="6"/>
  <c r="H65" i="6"/>
  <c r="H36" i="6"/>
  <c r="H34" i="6"/>
  <c r="H14" i="6"/>
  <c r="H688" i="6"/>
  <c r="H529" i="6"/>
  <c r="H491" i="6"/>
  <c r="H406" i="6"/>
  <c r="H343" i="6"/>
  <c r="H331" i="6"/>
  <c r="H295" i="6"/>
  <c r="H251" i="6"/>
  <c r="H242" i="6"/>
  <c r="H239" i="6"/>
  <c r="H213" i="6"/>
  <c r="H204" i="6"/>
  <c r="H195" i="6"/>
  <c r="H172" i="6"/>
  <c r="H111" i="6"/>
  <c r="H90" i="6"/>
  <c r="H86" i="6"/>
  <c r="H76" i="6"/>
  <c r="H74" i="6"/>
  <c r="H54" i="6"/>
  <c r="H43" i="6"/>
  <c r="H41" i="6"/>
  <c r="H12" i="6"/>
  <c r="H687" i="6"/>
  <c r="H548" i="6"/>
  <c r="H396" i="6"/>
  <c r="H373" i="6"/>
  <c r="H368" i="6"/>
  <c r="H363" i="6"/>
  <c r="H334" i="6"/>
  <c r="H315" i="6"/>
  <c r="H306" i="6"/>
  <c r="H303" i="6"/>
  <c r="H277" i="6"/>
  <c r="H268" i="6"/>
  <c r="H259" i="6"/>
  <c r="H236" i="6"/>
  <c r="H558" i="6"/>
  <c r="H517" i="6"/>
  <c r="H419" i="6"/>
  <c r="H405" i="6"/>
  <c r="H372" i="6"/>
  <c r="H327" i="6"/>
  <c r="H300" i="6"/>
  <c r="H658" i="6"/>
  <c r="H622" i="6"/>
  <c r="H605" i="6"/>
  <c r="H516" i="6"/>
  <c r="H497" i="6"/>
  <c r="H481" i="6"/>
  <c r="H465" i="6"/>
  <c r="H458" i="6"/>
  <c r="H450" i="6"/>
  <c r="H414" i="6"/>
  <c r="H381" i="6"/>
  <c r="H376" i="6"/>
  <c r="H371" i="6"/>
  <c r="H323" i="6"/>
  <c r="H282" i="6"/>
  <c r="H279" i="6"/>
  <c r="H253" i="6"/>
  <c r="H247" i="6"/>
  <c r="H244" i="6"/>
  <c r="H235" i="6"/>
  <c r="H226" i="6"/>
  <c r="H534" i="6"/>
  <c r="H472" i="6"/>
  <c r="H464" i="6"/>
  <c r="H403" i="6"/>
  <c r="H390" i="6"/>
  <c r="H326" i="6"/>
  <c r="H317" i="6"/>
  <c r="H311" i="6"/>
  <c r="H308" i="6"/>
  <c r="H299" i="6"/>
  <c r="H290" i="6"/>
  <c r="H267" i="6"/>
  <c r="H261" i="6"/>
  <c r="H731" i="6"/>
  <c r="H514" i="6"/>
  <c r="H463" i="6"/>
  <c r="H434" i="6"/>
  <c r="H412" i="6"/>
  <c r="H365" i="6"/>
  <c r="H344" i="6"/>
  <c r="H255" i="6"/>
  <c r="H220" i="6"/>
  <c r="H211" i="6"/>
  <c r="H202" i="6"/>
  <c r="H173" i="6"/>
  <c r="H170" i="6"/>
  <c r="H164" i="6"/>
  <c r="H141" i="6"/>
  <c r="H62" i="6"/>
  <c r="H51" i="6"/>
  <c r="H49" i="6"/>
  <c r="H20" i="6"/>
  <c r="H18" i="6"/>
  <c r="H156" i="6"/>
  <c r="H123" i="6"/>
  <c r="H106" i="6"/>
  <c r="H93" i="6"/>
  <c r="H83" i="6"/>
  <c r="H68" i="6"/>
  <c r="H59" i="6"/>
  <c r="H50" i="6"/>
  <c r="H27" i="6"/>
  <c r="H351" i="6"/>
  <c r="H275" i="6"/>
  <c r="H228" i="6"/>
  <c r="H197" i="6"/>
  <c r="H183" i="6"/>
  <c r="H127" i="6"/>
  <c r="H421" i="6"/>
  <c r="H384" i="6"/>
  <c r="H319" i="6"/>
  <c r="H215" i="6"/>
  <c r="H154" i="6"/>
  <c r="H102" i="6"/>
  <c r="H99" i="6"/>
  <c r="H73" i="6"/>
  <c r="H70" i="6"/>
  <c r="H44" i="6"/>
  <c r="H38" i="6"/>
  <c r="H35" i="6"/>
  <c r="H26" i="6"/>
  <c r="H17" i="6"/>
  <c r="H649" i="6"/>
  <c r="H470" i="6"/>
  <c r="H379" i="6"/>
  <c r="H116" i="6"/>
  <c r="H98" i="6"/>
  <c r="H85" i="6"/>
  <c r="H58" i="6"/>
  <c r="H52" i="6"/>
  <c r="H462" i="6"/>
  <c r="H374" i="6"/>
  <c r="H266" i="6"/>
  <c r="H205" i="6"/>
  <c r="H191" i="6"/>
  <c r="H162" i="6"/>
  <c r="H139" i="6"/>
  <c r="H125" i="6"/>
  <c r="H46" i="6"/>
  <c r="H454" i="6"/>
  <c r="H218" i="6"/>
  <c r="H171" i="6"/>
  <c r="H167" i="6"/>
  <c r="H94" i="6"/>
  <c r="H75" i="6"/>
  <c r="H66" i="6"/>
  <c r="H57" i="6"/>
  <c r="H28" i="6"/>
  <c r="H25" i="6"/>
  <c r="H19" i="6"/>
  <c r="H284" i="6"/>
  <c r="H237" i="6"/>
  <c r="H180" i="6"/>
  <c r="H138" i="6"/>
  <c r="H133" i="6"/>
  <c r="H119" i="6"/>
  <c r="H104" i="6"/>
  <c r="H60" i="6"/>
  <c r="H22" i="6"/>
  <c r="H189" i="6"/>
  <c r="H151" i="6"/>
  <c r="H114" i="6"/>
  <c r="H87" i="6"/>
  <c r="H234" i="6"/>
  <c r="H147" i="6"/>
  <c r="H110" i="6"/>
  <c r="H80" i="6"/>
  <c r="H33" i="6"/>
  <c r="H30" i="6"/>
  <c r="H100" i="6"/>
  <c r="H203" i="6"/>
  <c r="H42" i="6"/>
  <c r="I375" i="6"/>
  <c r="I417" i="6"/>
  <c r="I463" i="6"/>
  <c r="I266" i="6"/>
  <c r="I558" i="6"/>
  <c r="I193" i="6"/>
  <c r="I392" i="6"/>
  <c r="I466" i="6"/>
  <c r="I387" i="6"/>
  <c r="I394" i="6"/>
  <c r="I586" i="6"/>
  <c r="I689" i="6"/>
  <c r="I510" i="6"/>
  <c r="I429" i="6"/>
  <c r="I476" i="6"/>
  <c r="I651" i="6"/>
  <c r="I545" i="6"/>
  <c r="I605" i="6"/>
  <c r="I661" i="6"/>
  <c r="I588" i="6"/>
  <c r="I716" i="6"/>
  <c r="I767" i="6"/>
  <c r="I723" i="6"/>
  <c r="I526" i="6"/>
  <c r="I216" i="6"/>
  <c r="I87" i="6"/>
  <c r="I30" i="6"/>
  <c r="I610" i="6"/>
  <c r="I296" i="6"/>
  <c r="I48" i="6"/>
  <c r="I735" i="6"/>
  <c r="I292" i="6"/>
  <c r="I93" i="6"/>
  <c r="I119" i="6"/>
  <c r="I247" i="6"/>
  <c r="I271" i="6"/>
  <c r="I295" i="6"/>
  <c r="I472" i="6"/>
  <c r="I98" i="6"/>
  <c r="I242" i="6"/>
  <c r="I169" i="6"/>
  <c r="I348" i="6"/>
  <c r="I391" i="6"/>
  <c r="I368" i="6"/>
  <c r="I424" i="6"/>
  <c r="I523" i="6"/>
  <c r="I363" i="6"/>
  <c r="I370" i="6"/>
  <c r="I426" i="6"/>
  <c r="I535" i="6"/>
  <c r="I608" i="6"/>
  <c r="I516" i="6"/>
  <c r="I680" i="6"/>
  <c r="I461" i="6"/>
  <c r="I559" i="6"/>
  <c r="I760" i="6"/>
  <c r="I452" i="6"/>
  <c r="I518" i="6"/>
  <c r="I602" i="6"/>
  <c r="I761" i="6"/>
  <c r="I521" i="6"/>
  <c r="I560" i="6"/>
  <c r="I729" i="6"/>
  <c r="I690" i="6"/>
  <c r="I581" i="6"/>
  <c r="I637" i="6"/>
  <c r="I699" i="6"/>
  <c r="I755" i="6"/>
  <c r="I709" i="6"/>
  <c r="I765" i="6"/>
  <c r="I54" i="6"/>
  <c r="I181" i="6" l="1"/>
  <c r="I94" i="6"/>
  <c r="I385" i="6"/>
  <c r="I60" i="6"/>
  <c r="I47" i="6"/>
  <c r="I55" i="6"/>
  <c r="I180" i="6"/>
  <c r="I502" i="6"/>
  <c r="I675" i="6"/>
  <c r="I722" i="6"/>
  <c r="I457" i="6"/>
  <c r="I14" i="6"/>
  <c r="I620" i="6"/>
  <c r="I648" i="6"/>
  <c r="I697" i="6"/>
  <c r="I225" i="6"/>
  <c r="I497" i="6"/>
  <c r="I127" i="6"/>
  <c r="I265" i="6"/>
  <c r="I632" i="6"/>
  <c r="I226" i="6"/>
  <c r="I449" i="6"/>
  <c r="I600" i="6"/>
  <c r="I734" i="6"/>
  <c r="I406" i="6"/>
  <c r="I369" i="6"/>
  <c r="I477" i="6"/>
  <c r="I638" i="6"/>
  <c r="I509" i="6"/>
  <c r="I584" i="6"/>
  <c r="I362" i="6"/>
  <c r="I659" i="6"/>
  <c r="I672" i="6"/>
  <c r="I86" i="6"/>
  <c r="I52" i="6"/>
  <c r="I341" i="6"/>
  <c r="I572" i="6"/>
  <c r="I44" i="6"/>
  <c r="I171" i="6"/>
  <c r="I115" i="6"/>
  <c r="I59" i="6"/>
  <c r="I612" i="6"/>
  <c r="I601" i="6"/>
  <c r="I281" i="6"/>
  <c r="I78" i="6"/>
  <c r="I743" i="6"/>
  <c r="I513" i="6"/>
  <c r="I346" i="6"/>
  <c r="I161" i="6"/>
  <c r="I350" i="6"/>
  <c r="I248" i="6"/>
  <c r="I359" i="6"/>
  <c r="I567" i="6"/>
  <c r="I340" i="6"/>
  <c r="I136" i="6"/>
  <c r="I67" i="6"/>
  <c r="I310" i="6"/>
  <c r="I51" i="6"/>
  <c r="I677" i="6"/>
  <c r="I484" i="6"/>
  <c r="I347" i="6"/>
  <c r="I82" i="6"/>
  <c r="I747" i="6"/>
  <c r="I536" i="6"/>
  <c r="I445" i="6"/>
  <c r="I433" i="6"/>
  <c r="I154" i="6"/>
  <c r="I53" i="6"/>
  <c r="I276" i="6"/>
  <c r="I500" i="6"/>
  <c r="I582" i="6"/>
  <c r="G13" i="6"/>
  <c r="G14" i="6" s="1"/>
  <c r="I206" i="6"/>
  <c r="I15" i="6"/>
  <c r="I432" i="6"/>
  <c r="I95" i="6"/>
  <c r="I413" i="6"/>
  <c r="I320" i="6"/>
  <c r="I423" i="6"/>
  <c r="I253" i="6"/>
  <c r="I577" i="6"/>
  <c r="I377" i="6"/>
  <c r="I160" i="6"/>
  <c r="I268" i="6"/>
  <c r="I76" i="6"/>
  <c r="I251" i="6"/>
  <c r="I343" i="6"/>
  <c r="I541" i="6"/>
  <c r="I302" i="6"/>
  <c r="I556" i="6"/>
  <c r="I490" i="6"/>
  <c r="I480" i="6"/>
  <c r="I590" i="6"/>
  <c r="I313" i="6"/>
  <c r="I298" i="6"/>
  <c r="I25" i="6"/>
  <c r="I455" i="6"/>
  <c r="I174" i="6"/>
  <c r="I686" i="6"/>
  <c r="I623" i="6"/>
  <c r="I550" i="6"/>
  <c r="I548" i="6"/>
  <c r="I62" i="6"/>
  <c r="I701" i="6"/>
  <c r="I720" i="6"/>
  <c r="I633" i="6"/>
  <c r="I566" i="6"/>
  <c r="I178" i="6"/>
  <c r="I713" i="6"/>
  <c r="I462" i="6"/>
  <c r="I580" i="6"/>
  <c r="I501" i="6"/>
  <c r="I640" i="6"/>
  <c r="I404" i="6"/>
  <c r="I660" i="6"/>
  <c r="I643" i="6"/>
  <c r="I561" i="6"/>
  <c r="I530" i="6"/>
  <c r="I630" i="6"/>
  <c r="I447" i="6"/>
  <c r="I358" i="6"/>
  <c r="I396" i="6"/>
  <c r="I188" i="6"/>
  <c r="I663" i="6"/>
  <c r="I408" i="6"/>
  <c r="I564" i="6"/>
  <c r="I665" i="6"/>
  <c r="I684" i="6"/>
  <c r="I737" i="6"/>
  <c r="I654" i="6"/>
  <c r="I712" i="6"/>
  <c r="I667" i="6"/>
  <c r="I100" i="6"/>
  <c r="I481" i="6"/>
  <c r="I217" i="6"/>
  <c r="I411" i="6"/>
  <c r="I616" i="6"/>
  <c r="I603" i="6"/>
  <c r="I528" i="6"/>
  <c r="I68" i="6"/>
  <c r="I36" i="6"/>
  <c r="I39" i="6"/>
  <c r="I108" i="6"/>
  <c r="I200" i="6"/>
  <c r="I182" i="6"/>
  <c r="I211" i="6"/>
  <c r="I18" i="6"/>
  <c r="I118" i="6"/>
  <c r="I492" i="6"/>
  <c r="I58" i="6"/>
  <c r="I176" i="6"/>
  <c r="I275" i="6"/>
  <c r="I329" i="6"/>
  <c r="I264" i="6"/>
  <c r="I270" i="6"/>
  <c r="I487" i="6"/>
  <c r="I256" i="6"/>
  <c r="I382" i="6"/>
  <c r="I593" i="6"/>
  <c r="I50" i="6"/>
  <c r="I116" i="6"/>
  <c r="I163" i="6"/>
  <c r="I277" i="6"/>
  <c r="I335" i="6"/>
  <c r="I204" i="6"/>
  <c r="I212" i="6"/>
  <c r="I184" i="6"/>
  <c r="I147" i="6"/>
  <c r="I196" i="6"/>
  <c r="I140" i="6"/>
  <c r="I388" i="6"/>
  <c r="I179" i="6"/>
  <c r="I71" i="6"/>
  <c r="I120" i="6"/>
  <c r="I214" i="6"/>
  <c r="I284" i="6"/>
  <c r="I220" i="6"/>
  <c r="I495" i="6"/>
  <c r="I262" i="6"/>
  <c r="I324" i="6"/>
  <c r="I459" i="6"/>
  <c r="I624" i="6"/>
  <c r="I63" i="6"/>
  <c r="I125" i="6"/>
  <c r="I286" i="6"/>
  <c r="I364" i="6"/>
  <c r="I45" i="6"/>
  <c r="I109" i="6"/>
  <c r="I319" i="6"/>
  <c r="I223" i="6"/>
  <c r="I159" i="6"/>
  <c r="I49" i="6"/>
  <c r="I228" i="6"/>
  <c r="I259" i="6"/>
  <c r="I294" i="6"/>
  <c r="I412" i="6"/>
  <c r="I555" i="6"/>
  <c r="I72" i="6"/>
  <c r="I232" i="6"/>
  <c r="I328" i="6"/>
  <c r="I349" i="6"/>
  <c r="I401" i="6"/>
  <c r="I199" i="6"/>
  <c r="I135" i="6"/>
  <c r="I73" i="6"/>
  <c r="I97" i="6"/>
  <c r="I164" i="6"/>
  <c r="I195" i="6"/>
  <c r="I230" i="6"/>
  <c r="I261" i="6"/>
  <c r="I374" i="6"/>
  <c r="I32" i="6"/>
  <c r="I101" i="6"/>
  <c r="I168" i="6"/>
  <c r="I311" i="6"/>
  <c r="I287" i="6"/>
  <c r="I239" i="6"/>
  <c r="I175" i="6"/>
  <c r="I33" i="6"/>
  <c r="I131" i="6"/>
  <c r="I166" i="6"/>
  <c r="I197" i="6"/>
  <c r="I334" i="6"/>
  <c r="I380" i="6"/>
  <c r="I421" i="6"/>
  <c r="I573" i="6"/>
  <c r="I56" i="6"/>
  <c r="I316" i="6"/>
  <c r="I332" i="6"/>
  <c r="I357" i="6"/>
  <c r="I215" i="6"/>
  <c r="I151" i="6"/>
  <c r="I57" i="6"/>
  <c r="I133" i="6"/>
  <c r="I383" i="6"/>
  <c r="I16" i="6"/>
  <c r="I105" i="6"/>
  <c r="I252" i="6"/>
  <c r="I283" i="6"/>
  <c r="I318" i="6"/>
  <c r="I522" i="6"/>
  <c r="I441" i="6"/>
  <c r="I104" i="6"/>
  <c r="I152" i="6"/>
  <c r="I393" i="6"/>
  <c r="I726" i="6"/>
  <c r="I763" i="6"/>
  <c r="I707" i="6"/>
  <c r="I738" i="6"/>
  <c r="I628" i="6"/>
  <c r="I679" i="6"/>
  <c r="I645" i="6"/>
  <c r="I589" i="6"/>
  <c r="I764" i="6"/>
  <c r="I641" i="6"/>
  <c r="I529" i="6"/>
  <c r="I687" i="6"/>
  <c r="I619" i="6"/>
  <c r="I562" i="6"/>
  <c r="I671" i="6"/>
  <c r="I494" i="6"/>
  <c r="I469" i="6"/>
  <c r="I427" i="6"/>
  <c r="I371" i="6"/>
  <c r="I435" i="6"/>
  <c r="I543" i="6"/>
  <c r="I448" i="6"/>
  <c r="I356" i="6"/>
  <c r="I233" i="6"/>
  <c r="I177" i="6"/>
  <c r="I121" i="6"/>
  <c r="I306" i="6"/>
  <c r="I162" i="6"/>
  <c r="I106" i="6"/>
  <c r="I762" i="6"/>
  <c r="I575" i="6"/>
  <c r="I434" i="6"/>
  <c r="I344" i="6"/>
  <c r="I231" i="6"/>
  <c r="I167" i="6"/>
  <c r="I41" i="6"/>
  <c r="I110" i="6"/>
  <c r="I208" i="6"/>
  <c r="I517" i="6"/>
  <c r="I64" i="6"/>
  <c r="I124" i="6"/>
  <c r="I155" i="6"/>
  <c r="I190" i="6"/>
  <c r="I221" i="6"/>
  <c r="I205" i="6"/>
  <c r="I300" i="6"/>
  <c r="I399" i="6"/>
  <c r="I706" i="6"/>
  <c r="I750" i="6"/>
  <c r="I694" i="6"/>
  <c r="I731" i="6"/>
  <c r="I736" i="6"/>
  <c r="I652" i="6"/>
  <c r="I596" i="6"/>
  <c r="I756" i="6"/>
  <c r="I669" i="6"/>
  <c r="I613" i="6"/>
  <c r="I732" i="6"/>
  <c r="I682" i="6"/>
  <c r="I504" i="6"/>
  <c r="I746" i="6"/>
  <c r="I553" i="6"/>
  <c r="I554" i="6"/>
  <c r="I446" i="6"/>
  <c r="I482" i="6"/>
  <c r="I592" i="6"/>
  <c r="I395" i="6"/>
  <c r="I431" i="6"/>
  <c r="I578" i="6"/>
  <c r="I88" i="6"/>
  <c r="I489" i="6"/>
  <c r="I186" i="6"/>
  <c r="I144" i="6"/>
  <c r="I450" i="6"/>
  <c r="I126" i="6"/>
  <c r="I257" i="6"/>
  <c r="I442" i="6"/>
  <c r="I143" i="6"/>
  <c r="I157" i="6"/>
  <c r="I130" i="6"/>
  <c r="I698" i="6"/>
  <c r="I598" i="6"/>
  <c r="I339" i="6"/>
  <c r="I519" i="6"/>
  <c r="I201" i="6"/>
  <c r="I730" i="6"/>
  <c r="I24" i="6"/>
  <c r="I145" i="6"/>
  <c r="I551" i="6"/>
  <c r="I65" i="6"/>
  <c r="I207" i="6"/>
  <c r="I75" i="6"/>
  <c r="I148" i="6"/>
  <c r="I26" i="6"/>
  <c r="I79" i="6"/>
  <c r="I123" i="6"/>
  <c r="I237" i="6"/>
  <c r="I352" i="6"/>
  <c r="I514" i="6"/>
  <c r="I299" i="6"/>
  <c r="I353" i="6"/>
  <c r="I414" i="6"/>
  <c r="I224" i="6"/>
  <c r="I327" i="6"/>
  <c r="I467" i="6"/>
  <c r="I19" i="6"/>
  <c r="I128" i="6"/>
  <c r="I595" i="6"/>
  <c r="I111" i="6"/>
  <c r="I222" i="6"/>
  <c r="I397" i="6"/>
  <c r="I666" i="6"/>
  <c r="E14" i="6"/>
  <c r="F15" i="6"/>
  <c r="I537" i="6"/>
  <c r="I436" i="6"/>
  <c r="I354" i="6"/>
  <c r="I185" i="6"/>
  <c r="I170" i="6"/>
  <c r="I702" i="6"/>
  <c r="I512" i="6"/>
  <c r="I571" i="6"/>
  <c r="I454" i="6"/>
  <c r="I322" i="6"/>
  <c r="I376" i="6"/>
  <c r="I209" i="6"/>
  <c r="I279" i="6"/>
  <c r="I80" i="6"/>
  <c r="I40" i="6"/>
  <c r="I337" i="6"/>
  <c r="I483" i="6"/>
  <c r="I355" i="6"/>
  <c r="I478" i="6"/>
  <c r="I524" i="6"/>
  <c r="I576" i="6"/>
  <c r="I611" i="6"/>
  <c r="I238" i="6"/>
  <c r="I263" i="6"/>
  <c r="I389" i="6"/>
  <c r="I748" i="6"/>
  <c r="I437" i="6"/>
  <c r="I692" i="6"/>
  <c r="I189" i="6"/>
  <c r="I28" i="6"/>
  <c r="I81" i="6"/>
  <c r="I150" i="6"/>
  <c r="I35" i="6"/>
  <c r="I89" i="6"/>
  <c r="I278" i="6"/>
  <c r="I29" i="6"/>
  <c r="I243" i="6"/>
  <c r="I293" i="6"/>
  <c r="I229" i="6"/>
  <c r="I333" i="6"/>
  <c r="I525" i="6"/>
  <c r="I308" i="6"/>
  <c r="I235" i="6"/>
  <c r="I288" i="6"/>
  <c r="I473" i="6"/>
  <c r="I227" i="6"/>
  <c r="I475" i="6"/>
  <c r="I21" i="6"/>
  <c r="I415" i="6"/>
  <c r="I304" i="6"/>
  <c r="I83" i="6"/>
  <c r="I714" i="6"/>
  <c r="I591" i="6"/>
  <c r="I599" i="6"/>
  <c r="I439" i="6"/>
  <c r="I113" i="6"/>
  <c r="I183" i="6"/>
  <c r="I733" i="6"/>
  <c r="I674" i="6"/>
  <c r="I485" i="6"/>
  <c r="I137" i="6"/>
  <c r="I122" i="6"/>
  <c r="I538" i="6"/>
  <c r="I728" i="6"/>
  <c r="I759" i="6"/>
  <c r="I557" i="6"/>
  <c r="I342" i="6"/>
  <c r="I290" i="6"/>
  <c r="I38" i="6"/>
  <c r="I725" i="6"/>
  <c r="I668" i="6"/>
  <c r="I617" i="6"/>
  <c r="I642" i="6"/>
  <c r="I627" i="6"/>
  <c r="I384" i="6"/>
  <c r="I258" i="6"/>
  <c r="I724" i="6"/>
  <c r="I563" i="6"/>
  <c r="I703" i="6"/>
  <c r="I708" i="6"/>
  <c r="I700" i="6"/>
  <c r="I486" i="6"/>
  <c r="I114" i="6"/>
  <c r="I390" i="6"/>
  <c r="I752" i="6"/>
  <c r="I533" i="6"/>
  <c r="I546" i="6"/>
  <c r="I194" i="6"/>
  <c r="I255" i="6"/>
  <c r="I366" i="6"/>
  <c r="I218" i="6"/>
  <c r="I534" i="6"/>
  <c r="I493" i="6"/>
  <c r="I410" i="6"/>
  <c r="I542" i="6"/>
  <c r="I507" i="6"/>
  <c r="I631" i="6"/>
  <c r="I606" i="6"/>
  <c r="I639" i="6"/>
  <c r="I629" i="6"/>
  <c r="I685" i="6"/>
  <c r="I203" i="6"/>
  <c r="I210" i="6"/>
  <c r="I420" i="6"/>
  <c r="I338" i="6"/>
  <c r="I569" i="6"/>
  <c r="I646" i="6"/>
  <c r="I710" i="6"/>
  <c r="I280" i="6"/>
  <c r="I198" i="6"/>
  <c r="I13" i="6"/>
  <c r="I307" i="6"/>
  <c r="I91" i="6"/>
  <c r="I34" i="6"/>
  <c r="I158" i="6"/>
  <c r="I20" i="6"/>
  <c r="I112" i="6"/>
  <c r="I61" i="6"/>
  <c r="I102" i="6"/>
  <c r="I192" i="6"/>
  <c r="I96" i="6"/>
  <c r="I301" i="6"/>
  <c r="I132" i="6"/>
  <c r="I246" i="6"/>
  <c r="I361" i="6"/>
  <c r="I244" i="6"/>
  <c r="I291" i="6"/>
  <c r="I508" i="6"/>
  <c r="I92" i="6"/>
  <c r="I134" i="6"/>
  <c r="I245" i="6"/>
  <c r="I312" i="6"/>
  <c r="I12" i="6"/>
  <c r="J12" i="6" s="1"/>
  <c r="L12" i="6" s="1"/>
  <c r="I491" i="6"/>
  <c r="J14" i="6" l="1"/>
  <c r="L14" i="6" s="1"/>
  <c r="G15" i="6"/>
  <c r="F16" i="6"/>
  <c r="E15" i="6"/>
  <c r="J13" i="6"/>
  <c r="L13" i="6" s="1"/>
  <c r="E16" i="6" l="1"/>
  <c r="F17" i="6"/>
  <c r="J15" i="6"/>
  <c r="L15" i="6" s="1"/>
  <c r="G16" i="6"/>
  <c r="J16" i="6" l="1"/>
  <c r="L16" i="6" s="1"/>
  <c r="G17" i="6"/>
  <c r="F18" i="6"/>
  <c r="E17" i="6"/>
  <c r="E18" i="6" l="1"/>
  <c r="F19" i="6"/>
  <c r="J17" i="6"/>
  <c r="L17" i="6" s="1"/>
  <c r="G18" i="6"/>
  <c r="J18" i="6" l="1"/>
  <c r="L18" i="6" s="1"/>
  <c r="G19" i="6"/>
  <c r="F20" i="6"/>
  <c r="E19" i="6"/>
  <c r="E20" i="6" l="1"/>
  <c r="F21" i="6"/>
  <c r="J19" i="6"/>
  <c r="L19" i="6" s="1"/>
  <c r="G20" i="6"/>
  <c r="J20" i="6" l="1"/>
  <c r="L20" i="6" s="1"/>
  <c r="G21" i="6"/>
  <c r="E21" i="6"/>
  <c r="F22" i="6"/>
  <c r="F23" i="6" l="1"/>
  <c r="E22" i="6"/>
  <c r="J21" i="6"/>
  <c r="L21" i="6" s="1"/>
  <c r="G22" i="6"/>
  <c r="J22" i="6" l="1"/>
  <c r="L22" i="6" s="1"/>
  <c r="G23" i="6"/>
  <c r="F24" i="6"/>
  <c r="E23" i="6"/>
  <c r="F25" i="6" l="1"/>
  <c r="E24" i="6"/>
  <c r="J23" i="6"/>
  <c r="L23" i="6" s="1"/>
  <c r="G24" i="6"/>
  <c r="J24" i="6" l="1"/>
  <c r="L24" i="6" s="1"/>
  <c r="G25" i="6"/>
  <c r="F26" i="6"/>
  <c r="E25" i="6"/>
  <c r="E26" i="6" l="1"/>
  <c r="F27" i="6"/>
  <c r="J25" i="6"/>
  <c r="L25" i="6" s="1"/>
  <c r="G26" i="6"/>
  <c r="J26" i="6" l="1"/>
  <c r="L26" i="6" s="1"/>
  <c r="G27" i="6"/>
  <c r="E27" i="6"/>
  <c r="F28" i="6"/>
  <c r="E28" i="6" l="1"/>
  <c r="F29" i="6"/>
  <c r="J27" i="6"/>
  <c r="L27" i="6" s="1"/>
  <c r="G28" i="6"/>
  <c r="J28" i="6" l="1"/>
  <c r="L28" i="6" s="1"/>
  <c r="G29" i="6"/>
  <c r="E29" i="6"/>
  <c r="F30" i="6"/>
  <c r="F31" i="6" l="1"/>
  <c r="E30" i="6"/>
  <c r="J29" i="6"/>
  <c r="L29" i="6" s="1"/>
  <c r="G30" i="6"/>
  <c r="J30" i="6" l="1"/>
  <c r="L30" i="6" s="1"/>
  <c r="G31" i="6"/>
  <c r="F32" i="6"/>
  <c r="E31" i="6"/>
  <c r="F33" i="6" l="1"/>
  <c r="E32" i="6"/>
  <c r="J31" i="6"/>
  <c r="L31" i="6" s="1"/>
  <c r="G32" i="6"/>
  <c r="J32" i="6" l="1"/>
  <c r="L32" i="6" s="1"/>
  <c r="G33" i="6"/>
  <c r="E33" i="6"/>
  <c r="F34" i="6"/>
  <c r="E34" i="6" l="1"/>
  <c r="F35" i="6"/>
  <c r="J33" i="6"/>
  <c r="L33" i="6" s="1"/>
  <c r="G34" i="6"/>
  <c r="J34" i="6" l="1"/>
  <c r="L34" i="6" s="1"/>
  <c r="G35" i="6"/>
  <c r="F36" i="6"/>
  <c r="E35" i="6"/>
  <c r="E36" i="6" l="1"/>
  <c r="F37" i="6"/>
  <c r="J35" i="6"/>
  <c r="L35" i="6" s="1"/>
  <c r="G36" i="6"/>
  <c r="J36" i="6" l="1"/>
  <c r="L36" i="6" s="1"/>
  <c r="G37" i="6"/>
  <c r="E37" i="6"/>
  <c r="F38" i="6"/>
  <c r="E38" i="6" l="1"/>
  <c r="F39" i="6"/>
  <c r="J37" i="6"/>
  <c r="L37" i="6" s="1"/>
  <c r="G38" i="6"/>
  <c r="J38" i="6" l="1"/>
  <c r="L38" i="6" s="1"/>
  <c r="G39" i="6"/>
  <c r="E39" i="6"/>
  <c r="F40" i="6"/>
  <c r="E40" i="6" l="1"/>
  <c r="F41" i="6"/>
  <c r="J39" i="6"/>
  <c r="L39" i="6" s="1"/>
  <c r="G40" i="6"/>
  <c r="J40" i="6" l="1"/>
  <c r="L40" i="6" s="1"/>
  <c r="G41" i="6"/>
  <c r="F42" i="6"/>
  <c r="E41" i="6"/>
  <c r="E42" i="6" l="1"/>
  <c r="F43" i="6"/>
  <c r="J41" i="6"/>
  <c r="L41" i="6" s="1"/>
  <c r="G42" i="6"/>
  <c r="J42" i="6" l="1"/>
  <c r="L42" i="6" s="1"/>
  <c r="G43" i="6"/>
  <c r="F44" i="6"/>
  <c r="E43" i="6"/>
  <c r="E44" i="6" l="1"/>
  <c r="F45" i="6"/>
  <c r="J43" i="6"/>
  <c r="L43" i="6" s="1"/>
  <c r="G44" i="6"/>
  <c r="J44" i="6" l="1"/>
  <c r="L44" i="6" s="1"/>
  <c r="G45" i="6"/>
  <c r="E45" i="6"/>
  <c r="F46" i="6"/>
  <c r="F47" i="6" l="1"/>
  <c r="E46" i="6"/>
  <c r="J45" i="6"/>
  <c r="L45" i="6" s="1"/>
  <c r="G46" i="6"/>
  <c r="J46" i="6" l="1"/>
  <c r="L46" i="6" s="1"/>
  <c r="G47" i="6"/>
  <c r="E47" i="6"/>
  <c r="F48" i="6"/>
  <c r="F49" i="6" l="1"/>
  <c r="E48" i="6"/>
  <c r="J47" i="6"/>
  <c r="L47" i="6" s="1"/>
  <c r="G48" i="6"/>
  <c r="J48" i="6" l="1"/>
  <c r="L48" i="6" s="1"/>
  <c r="G49" i="6"/>
  <c r="E49" i="6"/>
  <c r="F50" i="6"/>
  <c r="E50" i="6" l="1"/>
  <c r="F51" i="6"/>
  <c r="J49" i="6"/>
  <c r="L49" i="6" s="1"/>
  <c r="G50" i="6"/>
  <c r="J50" i="6" l="1"/>
  <c r="L50" i="6" s="1"/>
  <c r="G51" i="6"/>
  <c r="E51" i="6"/>
  <c r="F52" i="6"/>
  <c r="E52" i="6" l="1"/>
  <c r="F53" i="6"/>
  <c r="J51" i="6"/>
  <c r="L51" i="6" s="1"/>
  <c r="G52" i="6"/>
  <c r="J52" i="6" l="1"/>
  <c r="L52" i="6" s="1"/>
  <c r="G53" i="6"/>
  <c r="E53" i="6"/>
  <c r="F54" i="6"/>
  <c r="F55" i="6" l="1"/>
  <c r="E54" i="6"/>
  <c r="J53" i="6"/>
  <c r="L53" i="6" s="1"/>
  <c r="G54" i="6"/>
  <c r="J54" i="6" l="1"/>
  <c r="L54" i="6" s="1"/>
  <c r="G55" i="6"/>
  <c r="F56" i="6"/>
  <c r="E55" i="6"/>
  <c r="E56" i="6" l="1"/>
  <c r="F57" i="6"/>
  <c r="J55" i="6"/>
  <c r="L55" i="6" s="1"/>
  <c r="G56" i="6"/>
  <c r="J56" i="6" l="1"/>
  <c r="L56" i="6" s="1"/>
  <c r="G57" i="6"/>
  <c r="F58" i="6"/>
  <c r="E57" i="6"/>
  <c r="E58" i="6" l="1"/>
  <c r="F59" i="6"/>
  <c r="J57" i="6"/>
  <c r="L57" i="6" s="1"/>
  <c r="G58" i="6"/>
  <c r="J58" i="6" l="1"/>
  <c r="L58" i="6" s="1"/>
  <c r="G59" i="6"/>
  <c r="F60" i="6"/>
  <c r="E59" i="6"/>
  <c r="E60" i="6" l="1"/>
  <c r="F61" i="6"/>
  <c r="J59" i="6"/>
  <c r="L59" i="6" s="1"/>
  <c r="G60" i="6"/>
  <c r="J60" i="6" l="1"/>
  <c r="L60" i="6" s="1"/>
  <c r="G61" i="6"/>
  <c r="E61" i="6"/>
  <c r="F62" i="6"/>
  <c r="E62" i="6" l="1"/>
  <c r="F63" i="6"/>
  <c r="J61" i="6"/>
  <c r="L61" i="6" s="1"/>
  <c r="G62" i="6"/>
  <c r="J62" i="6" l="1"/>
  <c r="L62" i="6" s="1"/>
  <c r="G63" i="6"/>
  <c r="F64" i="6"/>
  <c r="E63" i="6"/>
  <c r="F65" i="6" l="1"/>
  <c r="E64" i="6"/>
  <c r="J63" i="6"/>
  <c r="L63" i="6" s="1"/>
  <c r="G64" i="6"/>
  <c r="J64" i="6" l="1"/>
  <c r="L64" i="6" s="1"/>
  <c r="G65" i="6"/>
  <c r="F66" i="6"/>
  <c r="E65" i="6"/>
  <c r="E66" i="6" l="1"/>
  <c r="F67" i="6"/>
  <c r="J65" i="6"/>
  <c r="L65" i="6" s="1"/>
  <c r="G66" i="6"/>
  <c r="J66" i="6" l="1"/>
  <c r="L66" i="6" s="1"/>
  <c r="G67" i="6"/>
  <c r="F68" i="6"/>
  <c r="E67" i="6"/>
  <c r="E68" i="6" l="1"/>
  <c r="F69" i="6"/>
  <c r="J67" i="6"/>
  <c r="L67" i="6" s="1"/>
  <c r="G68" i="6"/>
  <c r="J68" i="6" l="1"/>
  <c r="L68" i="6" s="1"/>
  <c r="G69" i="6"/>
  <c r="E69" i="6"/>
  <c r="F70" i="6"/>
  <c r="F71" i="6" l="1"/>
  <c r="E70" i="6"/>
  <c r="J69" i="6"/>
  <c r="L69" i="6" s="1"/>
  <c r="G70" i="6"/>
  <c r="J70" i="6" l="1"/>
  <c r="L70" i="6" s="1"/>
  <c r="G71" i="6"/>
  <c r="E71" i="6"/>
  <c r="F72" i="6"/>
  <c r="F73" i="6" l="1"/>
  <c r="E72" i="6"/>
  <c r="J71" i="6"/>
  <c r="L71" i="6" s="1"/>
  <c r="G72" i="6"/>
  <c r="J72" i="6" l="1"/>
  <c r="L72" i="6" s="1"/>
  <c r="G73" i="6"/>
  <c r="E73" i="6"/>
  <c r="F74" i="6"/>
  <c r="E74" i="6" l="1"/>
  <c r="F75" i="6"/>
  <c r="J73" i="6"/>
  <c r="L73" i="6" s="1"/>
  <c r="G74" i="6"/>
  <c r="J74" i="6" l="1"/>
  <c r="L74" i="6" s="1"/>
  <c r="G75" i="6"/>
  <c r="F76" i="6"/>
  <c r="E75" i="6"/>
  <c r="E76" i="6" l="1"/>
  <c r="F77" i="6"/>
  <c r="J75" i="6"/>
  <c r="L75" i="6" s="1"/>
  <c r="G76" i="6"/>
  <c r="J76" i="6" l="1"/>
  <c r="L76" i="6" s="1"/>
  <c r="G77" i="6"/>
  <c r="E77" i="6"/>
  <c r="F78" i="6"/>
  <c r="E78" i="6" l="1"/>
  <c r="F79" i="6"/>
  <c r="J77" i="6"/>
  <c r="L77" i="6" s="1"/>
  <c r="G78" i="6"/>
  <c r="J78" i="6" l="1"/>
  <c r="L78" i="6" s="1"/>
  <c r="G79" i="6"/>
  <c r="F80" i="6"/>
  <c r="E79" i="6"/>
  <c r="E80" i="6" l="1"/>
  <c r="F81" i="6"/>
  <c r="J79" i="6"/>
  <c r="L79" i="6" s="1"/>
  <c r="G80" i="6"/>
  <c r="J80" i="6" l="1"/>
  <c r="L80" i="6" s="1"/>
  <c r="G81" i="6"/>
  <c r="E81" i="6"/>
  <c r="F82" i="6"/>
  <c r="E82" i="6" l="1"/>
  <c r="F83" i="6"/>
  <c r="J81" i="6"/>
  <c r="L81" i="6" s="1"/>
  <c r="G82" i="6"/>
  <c r="J82" i="6" l="1"/>
  <c r="L82" i="6" s="1"/>
  <c r="G83" i="6"/>
  <c r="F84" i="6"/>
  <c r="E83" i="6"/>
  <c r="F85" i="6" l="1"/>
  <c r="E84" i="6"/>
  <c r="J83" i="6"/>
  <c r="L83" i="6" s="1"/>
  <c r="G84" i="6"/>
  <c r="J84" i="6" l="1"/>
  <c r="L84" i="6" s="1"/>
  <c r="G85" i="6"/>
  <c r="E85" i="6"/>
  <c r="F86" i="6"/>
  <c r="E86" i="6" l="1"/>
  <c r="F87" i="6"/>
  <c r="J85" i="6"/>
  <c r="L85" i="6" s="1"/>
  <c r="G86" i="6"/>
  <c r="J86" i="6" l="1"/>
  <c r="L86" i="6" s="1"/>
  <c r="G87" i="6"/>
  <c r="E87" i="6"/>
  <c r="F88" i="6"/>
  <c r="F89" i="6" l="1"/>
  <c r="E88" i="6"/>
  <c r="J87" i="6"/>
  <c r="L87" i="6" s="1"/>
  <c r="G88" i="6"/>
  <c r="J88" i="6" l="1"/>
  <c r="L88" i="6" s="1"/>
  <c r="G89" i="6"/>
  <c r="E89" i="6"/>
  <c r="F90" i="6"/>
  <c r="E90" i="6" l="1"/>
  <c r="F91" i="6"/>
  <c r="J89" i="6"/>
  <c r="L89" i="6" s="1"/>
  <c r="G90" i="6"/>
  <c r="J90" i="6" l="1"/>
  <c r="L90" i="6" s="1"/>
  <c r="G91" i="6"/>
  <c r="E91" i="6"/>
  <c r="F92" i="6"/>
  <c r="F93" i="6" l="1"/>
  <c r="E92" i="6"/>
  <c r="J91" i="6"/>
  <c r="L91" i="6" s="1"/>
  <c r="G92" i="6"/>
  <c r="J92" i="6" l="1"/>
  <c r="L92" i="6" s="1"/>
  <c r="G93" i="6"/>
  <c r="E93" i="6"/>
  <c r="F94" i="6"/>
  <c r="E94" i="6" l="1"/>
  <c r="F95" i="6"/>
  <c r="J93" i="6"/>
  <c r="L93" i="6" s="1"/>
  <c r="G94" i="6"/>
  <c r="J94" i="6" l="1"/>
  <c r="L94" i="6" s="1"/>
  <c r="G95" i="6"/>
  <c r="E95" i="6"/>
  <c r="F96" i="6"/>
  <c r="E96" i="6" l="1"/>
  <c r="F97" i="6"/>
  <c r="J95" i="6"/>
  <c r="L95" i="6" s="1"/>
  <c r="G96" i="6"/>
  <c r="J96" i="6" l="1"/>
  <c r="L96" i="6" s="1"/>
  <c r="G97" i="6"/>
  <c r="E97" i="6"/>
  <c r="F98" i="6"/>
  <c r="E98" i="6" l="1"/>
  <c r="F99" i="6"/>
  <c r="J97" i="6"/>
  <c r="L97" i="6" s="1"/>
  <c r="G98" i="6"/>
  <c r="J98" i="6" l="1"/>
  <c r="L98" i="6" s="1"/>
  <c r="G99" i="6"/>
  <c r="E99" i="6"/>
  <c r="F100" i="6"/>
  <c r="F101" i="6" l="1"/>
  <c r="E100" i="6"/>
  <c r="J99" i="6"/>
  <c r="L99" i="6" s="1"/>
  <c r="G100" i="6"/>
  <c r="J100" i="6" l="1"/>
  <c r="L100" i="6" s="1"/>
  <c r="G101" i="6"/>
  <c r="E101" i="6"/>
  <c r="F102" i="6"/>
  <c r="E102" i="6" l="1"/>
  <c r="F103" i="6"/>
  <c r="J101" i="6"/>
  <c r="L101" i="6" s="1"/>
  <c r="G102" i="6"/>
  <c r="J102" i="6" l="1"/>
  <c r="L102" i="6" s="1"/>
  <c r="G103" i="6"/>
  <c r="E103" i="6"/>
  <c r="F104" i="6"/>
  <c r="E104" i="6" l="1"/>
  <c r="F105" i="6"/>
  <c r="J103" i="6"/>
  <c r="L103" i="6" s="1"/>
  <c r="G104" i="6"/>
  <c r="J104" i="6" l="1"/>
  <c r="L104" i="6" s="1"/>
  <c r="G105" i="6"/>
  <c r="E105" i="6"/>
  <c r="F106" i="6"/>
  <c r="E106" i="6" l="1"/>
  <c r="F107" i="6"/>
  <c r="J105" i="6"/>
  <c r="L105" i="6" s="1"/>
  <c r="G106" i="6"/>
  <c r="J106" i="6" l="1"/>
  <c r="L106" i="6" s="1"/>
  <c r="G107" i="6"/>
  <c r="E107" i="6"/>
  <c r="F108" i="6"/>
  <c r="E108" i="6" l="1"/>
  <c r="F109" i="6"/>
  <c r="J107" i="6"/>
  <c r="L107" i="6" s="1"/>
  <c r="G108" i="6"/>
  <c r="J108" i="6" l="1"/>
  <c r="L108" i="6" s="1"/>
  <c r="G109" i="6"/>
  <c r="F110" i="6"/>
  <c r="E109" i="6"/>
  <c r="J109" i="6" l="1"/>
  <c r="L109" i="6" s="1"/>
  <c r="G110" i="6"/>
  <c r="E110" i="6"/>
  <c r="F111" i="6"/>
  <c r="E111" i="6" l="1"/>
  <c r="F112" i="6"/>
  <c r="J110" i="6"/>
  <c r="L110" i="6" s="1"/>
  <c r="G111" i="6"/>
  <c r="J111" i="6" l="1"/>
  <c r="L111" i="6" s="1"/>
  <c r="G112" i="6"/>
  <c r="E112" i="6"/>
  <c r="F113" i="6"/>
  <c r="E113" i="6" l="1"/>
  <c r="F114" i="6"/>
  <c r="J112" i="6"/>
  <c r="L112" i="6" s="1"/>
  <c r="G113" i="6"/>
  <c r="J113" i="6" l="1"/>
  <c r="L113" i="6" s="1"/>
  <c r="G114" i="6"/>
  <c r="E114" i="6"/>
  <c r="F115" i="6"/>
  <c r="E115" i="6" l="1"/>
  <c r="F116" i="6"/>
  <c r="J114" i="6"/>
  <c r="L114" i="6" s="1"/>
  <c r="G115" i="6"/>
  <c r="J115" i="6" l="1"/>
  <c r="L115" i="6" s="1"/>
  <c r="G116" i="6"/>
  <c r="E116" i="6"/>
  <c r="F117" i="6"/>
  <c r="E117" i="6" l="1"/>
  <c r="F118" i="6"/>
  <c r="J116" i="6"/>
  <c r="L116" i="6" s="1"/>
  <c r="G117" i="6"/>
  <c r="J117" i="6" l="1"/>
  <c r="L117" i="6" s="1"/>
  <c r="G118" i="6"/>
  <c r="E118" i="6"/>
  <c r="F119" i="6"/>
  <c r="E119" i="6" l="1"/>
  <c r="F120" i="6"/>
  <c r="J118" i="6"/>
  <c r="L118" i="6" s="1"/>
  <c r="G119" i="6"/>
  <c r="J119" i="6" l="1"/>
  <c r="L119" i="6" s="1"/>
  <c r="G120" i="6"/>
  <c r="E120" i="6"/>
  <c r="F121" i="6"/>
  <c r="E121" i="6" l="1"/>
  <c r="F122" i="6"/>
  <c r="J120" i="6"/>
  <c r="L120" i="6" s="1"/>
  <c r="G121" i="6"/>
  <c r="J121" i="6" l="1"/>
  <c r="L121" i="6" s="1"/>
  <c r="G122" i="6"/>
  <c r="F123" i="6"/>
  <c r="E122" i="6"/>
  <c r="E123" i="6" l="1"/>
  <c r="F124" i="6"/>
  <c r="J122" i="6"/>
  <c r="L122" i="6" s="1"/>
  <c r="G123" i="6"/>
  <c r="J123" i="6" l="1"/>
  <c r="L123" i="6" s="1"/>
  <c r="G124" i="6"/>
  <c r="E124" i="6"/>
  <c r="F125" i="6"/>
  <c r="E125" i="6" l="1"/>
  <c r="F126" i="6"/>
  <c r="J124" i="6"/>
  <c r="L124" i="6" s="1"/>
  <c r="G125" i="6"/>
  <c r="J125" i="6" l="1"/>
  <c r="L125" i="6" s="1"/>
  <c r="G126" i="6"/>
  <c r="E126" i="6"/>
  <c r="F127" i="6"/>
  <c r="E127" i="6" l="1"/>
  <c r="F128" i="6"/>
  <c r="J126" i="6"/>
  <c r="L126" i="6" s="1"/>
  <c r="G127" i="6"/>
  <c r="J127" i="6" l="1"/>
  <c r="L127" i="6" s="1"/>
  <c r="G128" i="6"/>
  <c r="E128" i="6"/>
  <c r="F129" i="6"/>
  <c r="E129" i="6" l="1"/>
  <c r="F130" i="6"/>
  <c r="J128" i="6"/>
  <c r="L128" i="6" s="1"/>
  <c r="G129" i="6"/>
  <c r="J129" i="6" l="1"/>
  <c r="L129" i="6" s="1"/>
  <c r="G130" i="6"/>
  <c r="E130" i="6"/>
  <c r="F131" i="6"/>
  <c r="E131" i="6" l="1"/>
  <c r="F132" i="6"/>
  <c r="J130" i="6"/>
  <c r="L130" i="6" s="1"/>
  <c r="G131" i="6"/>
  <c r="J131" i="6" l="1"/>
  <c r="L131" i="6" s="1"/>
  <c r="G132" i="6"/>
  <c r="E132" i="6"/>
  <c r="F133" i="6"/>
  <c r="E133" i="6" l="1"/>
  <c r="F134" i="6"/>
  <c r="J132" i="6"/>
  <c r="L132" i="6" s="1"/>
  <c r="G133" i="6"/>
  <c r="J133" i="6" l="1"/>
  <c r="L133" i="6" s="1"/>
  <c r="G134" i="6"/>
  <c r="E134" i="6"/>
  <c r="F135" i="6"/>
  <c r="E135" i="6" l="1"/>
  <c r="F136" i="6"/>
  <c r="J134" i="6"/>
  <c r="L134" i="6" s="1"/>
  <c r="G135" i="6"/>
  <c r="J135" i="6" l="1"/>
  <c r="L135" i="6" s="1"/>
  <c r="G136" i="6"/>
  <c r="E136" i="6"/>
  <c r="F137" i="6"/>
  <c r="E137" i="6" l="1"/>
  <c r="F138" i="6"/>
  <c r="J136" i="6"/>
  <c r="L136" i="6" s="1"/>
  <c r="G137" i="6"/>
  <c r="J137" i="6" l="1"/>
  <c r="L137" i="6" s="1"/>
  <c r="G138" i="6"/>
  <c r="E138" i="6"/>
  <c r="F139" i="6"/>
  <c r="E139" i="6" l="1"/>
  <c r="F140" i="6"/>
  <c r="J138" i="6"/>
  <c r="L138" i="6" s="1"/>
  <c r="G139" i="6"/>
  <c r="J139" i="6" l="1"/>
  <c r="L139" i="6" s="1"/>
  <c r="G140" i="6"/>
  <c r="E140" i="6"/>
  <c r="F141" i="6"/>
  <c r="E141" i="6" l="1"/>
  <c r="F142" i="6"/>
  <c r="J140" i="6"/>
  <c r="L140" i="6" s="1"/>
  <c r="G141" i="6"/>
  <c r="J141" i="6" l="1"/>
  <c r="L141" i="6" s="1"/>
  <c r="G142" i="6"/>
  <c r="E142" i="6"/>
  <c r="F143" i="6"/>
  <c r="E143" i="6" l="1"/>
  <c r="F144" i="6"/>
  <c r="J142" i="6"/>
  <c r="L142" i="6" s="1"/>
  <c r="G143" i="6"/>
  <c r="J143" i="6" l="1"/>
  <c r="L143" i="6" s="1"/>
  <c r="G144" i="6"/>
  <c r="E144" i="6"/>
  <c r="F145" i="6"/>
  <c r="F146" i="6" l="1"/>
  <c r="E145" i="6"/>
  <c r="J144" i="6"/>
  <c r="L144" i="6" s="1"/>
  <c r="G145" i="6"/>
  <c r="J145" i="6" l="1"/>
  <c r="L145" i="6" s="1"/>
  <c r="G146" i="6"/>
  <c r="E146" i="6"/>
  <c r="F147" i="6"/>
  <c r="J146" i="6" l="1"/>
  <c r="L146" i="6" s="1"/>
  <c r="G147" i="6"/>
  <c r="E147" i="6"/>
  <c r="F148" i="6"/>
  <c r="F149" i="6" l="1"/>
  <c r="E148" i="6"/>
  <c r="J147" i="6"/>
  <c r="L147" i="6" s="1"/>
  <c r="G148" i="6"/>
  <c r="J148" i="6" l="1"/>
  <c r="L148" i="6" s="1"/>
  <c r="G149" i="6"/>
  <c r="E149" i="6"/>
  <c r="F150" i="6"/>
  <c r="E150" i="6" l="1"/>
  <c r="F151" i="6"/>
  <c r="J149" i="6"/>
  <c r="L149" i="6" s="1"/>
  <c r="G150" i="6"/>
  <c r="J150" i="6" l="1"/>
  <c r="L150" i="6" s="1"/>
  <c r="G151" i="6"/>
  <c r="F152" i="6"/>
  <c r="E151" i="6"/>
  <c r="E152" i="6" l="1"/>
  <c r="F153" i="6"/>
  <c r="J151" i="6"/>
  <c r="L151" i="6" s="1"/>
  <c r="G152" i="6"/>
  <c r="J152" i="6" l="1"/>
  <c r="L152" i="6" s="1"/>
  <c r="G153" i="6"/>
  <c r="E153" i="6"/>
  <c r="F154" i="6"/>
  <c r="E154" i="6" l="1"/>
  <c r="F155" i="6"/>
  <c r="J153" i="6"/>
  <c r="L153" i="6" s="1"/>
  <c r="G154" i="6"/>
  <c r="J154" i="6" l="1"/>
  <c r="L154" i="6" s="1"/>
  <c r="G155" i="6"/>
  <c r="E155" i="6"/>
  <c r="F156" i="6"/>
  <c r="E156" i="6" l="1"/>
  <c r="F157" i="6"/>
  <c r="J155" i="6"/>
  <c r="L155" i="6" s="1"/>
  <c r="G156" i="6"/>
  <c r="J156" i="6" l="1"/>
  <c r="L156" i="6" s="1"/>
  <c r="G157" i="6"/>
  <c r="E157" i="6"/>
  <c r="F158" i="6"/>
  <c r="E158" i="6" l="1"/>
  <c r="F159" i="6"/>
  <c r="J157" i="6"/>
  <c r="L157" i="6" s="1"/>
  <c r="G158" i="6"/>
  <c r="J158" i="6" l="1"/>
  <c r="L158" i="6" s="1"/>
  <c r="G159" i="6"/>
  <c r="E159" i="6"/>
  <c r="F160" i="6"/>
  <c r="E160" i="6" l="1"/>
  <c r="F161" i="6"/>
  <c r="J159" i="6"/>
  <c r="L159" i="6" s="1"/>
  <c r="G160" i="6"/>
  <c r="J160" i="6" l="1"/>
  <c r="L160" i="6" s="1"/>
  <c r="G161" i="6"/>
  <c r="E161" i="6"/>
  <c r="F162" i="6"/>
  <c r="E162" i="6" l="1"/>
  <c r="F163" i="6"/>
  <c r="J161" i="6"/>
  <c r="L161" i="6" s="1"/>
  <c r="G162" i="6"/>
  <c r="J162" i="6" l="1"/>
  <c r="L162" i="6" s="1"/>
  <c r="G163" i="6"/>
  <c r="E163" i="6"/>
  <c r="F164" i="6"/>
  <c r="E164" i="6" l="1"/>
  <c r="F165" i="6"/>
  <c r="J163" i="6"/>
  <c r="L163" i="6" s="1"/>
  <c r="G164" i="6"/>
  <c r="J164" i="6" l="1"/>
  <c r="L164" i="6" s="1"/>
  <c r="G165" i="6"/>
  <c r="E165" i="6"/>
  <c r="F166" i="6"/>
  <c r="E166" i="6" l="1"/>
  <c r="F167" i="6"/>
  <c r="J165" i="6"/>
  <c r="L165" i="6" s="1"/>
  <c r="G166" i="6"/>
  <c r="J166" i="6" l="1"/>
  <c r="L166" i="6" s="1"/>
  <c r="G167" i="6"/>
  <c r="E167" i="6"/>
  <c r="F168" i="6"/>
  <c r="F169" i="6" l="1"/>
  <c r="E168" i="6"/>
  <c r="J167" i="6"/>
  <c r="L167" i="6" s="1"/>
  <c r="G168" i="6"/>
  <c r="J168" i="6" l="1"/>
  <c r="L168" i="6" s="1"/>
  <c r="G169" i="6"/>
  <c r="E169" i="6"/>
  <c r="F170" i="6"/>
  <c r="E170" i="6" l="1"/>
  <c r="F171" i="6"/>
  <c r="J169" i="6"/>
  <c r="L169" i="6" s="1"/>
  <c r="G170" i="6"/>
  <c r="J170" i="6" l="1"/>
  <c r="L170" i="6" s="1"/>
  <c r="G171" i="6"/>
  <c r="E171" i="6"/>
  <c r="F172" i="6"/>
  <c r="E172" i="6" l="1"/>
  <c r="F173" i="6"/>
  <c r="J171" i="6"/>
  <c r="L171" i="6" s="1"/>
  <c r="G172" i="6"/>
  <c r="J172" i="6" l="1"/>
  <c r="L172" i="6" s="1"/>
  <c r="G173" i="6"/>
  <c r="E173" i="6"/>
  <c r="F174" i="6"/>
  <c r="E174" i="6" l="1"/>
  <c r="F175" i="6"/>
  <c r="J173" i="6"/>
  <c r="L173" i="6" s="1"/>
  <c r="G174" i="6"/>
  <c r="J174" i="6" l="1"/>
  <c r="L174" i="6" s="1"/>
  <c r="G175" i="6"/>
  <c r="E175" i="6"/>
  <c r="F176" i="6"/>
  <c r="F177" i="6" l="1"/>
  <c r="E176" i="6"/>
  <c r="J175" i="6"/>
  <c r="L175" i="6" s="1"/>
  <c r="G176" i="6"/>
  <c r="J176" i="6" l="1"/>
  <c r="L176" i="6" s="1"/>
  <c r="G177" i="6"/>
  <c r="E177" i="6"/>
  <c r="F178" i="6"/>
  <c r="F179" i="6" l="1"/>
  <c r="E178" i="6"/>
  <c r="J177" i="6"/>
  <c r="L177" i="6" s="1"/>
  <c r="G178" i="6"/>
  <c r="E179" i="6" l="1"/>
  <c r="F180" i="6"/>
  <c r="J178" i="6"/>
  <c r="L178" i="6" s="1"/>
  <c r="G179" i="6"/>
  <c r="J179" i="6" l="1"/>
  <c r="L179" i="6" s="1"/>
  <c r="G180" i="6"/>
  <c r="E180" i="6"/>
  <c r="F181" i="6"/>
  <c r="E181" i="6" l="1"/>
  <c r="F182" i="6"/>
  <c r="J180" i="6"/>
  <c r="L180" i="6" s="1"/>
  <c r="G181" i="6"/>
  <c r="J181" i="6" l="1"/>
  <c r="L181" i="6" s="1"/>
  <c r="G182" i="6"/>
  <c r="E182" i="6"/>
  <c r="F183" i="6"/>
  <c r="E183" i="6" l="1"/>
  <c r="F184" i="6"/>
  <c r="J182" i="6"/>
  <c r="L182" i="6" s="1"/>
  <c r="G183" i="6"/>
  <c r="J183" i="6" l="1"/>
  <c r="L183" i="6" s="1"/>
  <c r="G184" i="6"/>
  <c r="E184" i="6"/>
  <c r="F185" i="6"/>
  <c r="E185" i="6" l="1"/>
  <c r="F186" i="6"/>
  <c r="J184" i="6"/>
  <c r="L184" i="6" s="1"/>
  <c r="G185" i="6"/>
  <c r="J185" i="6" l="1"/>
  <c r="L185" i="6" s="1"/>
  <c r="G186" i="6"/>
  <c r="F187" i="6"/>
  <c r="E186" i="6"/>
  <c r="E187" i="6" l="1"/>
  <c r="F188" i="6"/>
  <c r="J186" i="6"/>
  <c r="L186" i="6" s="1"/>
  <c r="G187" i="6"/>
  <c r="J187" i="6" l="1"/>
  <c r="L187" i="6" s="1"/>
  <c r="G188" i="6"/>
  <c r="E188" i="6"/>
  <c r="F189" i="6"/>
  <c r="E189" i="6" l="1"/>
  <c r="F190" i="6"/>
  <c r="J188" i="6"/>
  <c r="L188" i="6" s="1"/>
  <c r="G189" i="6"/>
  <c r="J189" i="6" l="1"/>
  <c r="L189" i="6" s="1"/>
  <c r="G190" i="6"/>
  <c r="E190" i="6"/>
  <c r="F191" i="6"/>
  <c r="E191" i="6" l="1"/>
  <c r="F192" i="6"/>
  <c r="J190" i="6"/>
  <c r="L190" i="6" s="1"/>
  <c r="G191" i="6"/>
  <c r="J191" i="6" l="1"/>
  <c r="L191" i="6" s="1"/>
  <c r="G192" i="6"/>
  <c r="E192" i="6"/>
  <c r="F193" i="6"/>
  <c r="E193" i="6" l="1"/>
  <c r="F194" i="6"/>
  <c r="J192" i="6"/>
  <c r="L192" i="6" s="1"/>
  <c r="G193" i="6"/>
  <c r="J193" i="6" l="1"/>
  <c r="L193" i="6" s="1"/>
  <c r="G194" i="6"/>
  <c r="E194" i="6"/>
  <c r="F195" i="6"/>
  <c r="E195" i="6" l="1"/>
  <c r="F196" i="6"/>
  <c r="J194" i="6"/>
  <c r="L194" i="6" s="1"/>
  <c r="G195" i="6"/>
  <c r="J195" i="6" l="1"/>
  <c r="L195" i="6" s="1"/>
  <c r="G196" i="6"/>
  <c r="E196" i="6"/>
  <c r="F197" i="6"/>
  <c r="E197" i="6" l="1"/>
  <c r="F198" i="6"/>
  <c r="J196" i="6"/>
  <c r="L196" i="6" s="1"/>
  <c r="G197" i="6"/>
  <c r="J197" i="6" l="1"/>
  <c r="L197" i="6" s="1"/>
  <c r="G198" i="6"/>
  <c r="E198" i="6"/>
  <c r="F199" i="6"/>
  <c r="F200" i="6" l="1"/>
  <c r="E199" i="6"/>
  <c r="J198" i="6"/>
  <c r="L198" i="6" s="1"/>
  <c r="G199" i="6"/>
  <c r="J199" i="6" l="1"/>
  <c r="L199" i="6" s="1"/>
  <c r="G200" i="6"/>
  <c r="E200" i="6"/>
  <c r="F201" i="6"/>
  <c r="F202" i="6" l="1"/>
  <c r="E201" i="6"/>
  <c r="J200" i="6"/>
  <c r="L200" i="6" s="1"/>
  <c r="G201" i="6"/>
  <c r="J201" i="6" l="1"/>
  <c r="L201" i="6" s="1"/>
  <c r="G202" i="6"/>
  <c r="E202" i="6"/>
  <c r="F203" i="6"/>
  <c r="E203" i="6" l="1"/>
  <c r="F204" i="6"/>
  <c r="J202" i="6"/>
  <c r="L202" i="6" s="1"/>
  <c r="G203" i="6"/>
  <c r="J203" i="6" l="1"/>
  <c r="L203" i="6" s="1"/>
  <c r="G204" i="6"/>
  <c r="E204" i="6"/>
  <c r="F205" i="6"/>
  <c r="E205" i="6" l="1"/>
  <c r="F206" i="6"/>
  <c r="J204" i="6"/>
  <c r="L204" i="6" s="1"/>
  <c r="G205" i="6"/>
  <c r="J205" i="6" l="1"/>
  <c r="L205" i="6" s="1"/>
  <c r="G206" i="6"/>
  <c r="E206" i="6"/>
  <c r="F207" i="6"/>
  <c r="F208" i="6" l="1"/>
  <c r="E207" i="6"/>
  <c r="J206" i="6"/>
  <c r="L206" i="6" s="1"/>
  <c r="G207" i="6"/>
  <c r="J207" i="6" l="1"/>
  <c r="L207" i="6" s="1"/>
  <c r="G208" i="6"/>
  <c r="E208" i="6"/>
  <c r="F209" i="6"/>
  <c r="F210" i="6" l="1"/>
  <c r="E209" i="6"/>
  <c r="J208" i="6"/>
  <c r="L208" i="6" s="1"/>
  <c r="G209" i="6"/>
  <c r="J209" i="6" l="1"/>
  <c r="L209" i="6" s="1"/>
  <c r="G210" i="6"/>
  <c r="E210" i="6"/>
  <c r="F211" i="6"/>
  <c r="E211" i="6" l="1"/>
  <c r="F212" i="6"/>
  <c r="J210" i="6"/>
  <c r="L210" i="6" s="1"/>
  <c r="G211" i="6"/>
  <c r="J211" i="6" l="1"/>
  <c r="L211" i="6" s="1"/>
  <c r="G212" i="6"/>
  <c r="E212" i="6"/>
  <c r="F213" i="6"/>
  <c r="E213" i="6" l="1"/>
  <c r="F214" i="6"/>
  <c r="J212" i="6"/>
  <c r="L212" i="6" s="1"/>
  <c r="G213" i="6"/>
  <c r="J213" i="6" l="1"/>
  <c r="L213" i="6" s="1"/>
  <c r="G214" i="6"/>
  <c r="E214" i="6"/>
  <c r="F215" i="6"/>
  <c r="F216" i="6" l="1"/>
  <c r="E215" i="6"/>
  <c r="J214" i="6"/>
  <c r="L214" i="6" s="1"/>
  <c r="G215" i="6"/>
  <c r="J215" i="6" l="1"/>
  <c r="L215" i="6" s="1"/>
  <c r="G216" i="6"/>
  <c r="E216" i="6"/>
  <c r="F217" i="6"/>
  <c r="E217" i="6" l="1"/>
  <c r="F218" i="6"/>
  <c r="J216" i="6"/>
  <c r="L216" i="6" s="1"/>
  <c r="G217" i="6"/>
  <c r="J217" i="6" l="1"/>
  <c r="L217" i="6" s="1"/>
  <c r="G218" i="6"/>
  <c r="E218" i="6"/>
  <c r="F219" i="6"/>
  <c r="E219" i="6" l="1"/>
  <c r="F220" i="6"/>
  <c r="J218" i="6"/>
  <c r="L218" i="6" s="1"/>
  <c r="G219" i="6"/>
  <c r="J219" i="6" l="1"/>
  <c r="L219" i="6" s="1"/>
  <c r="G220" i="6"/>
  <c r="F221" i="6"/>
  <c r="E220" i="6"/>
  <c r="E221" i="6" l="1"/>
  <c r="F222" i="6"/>
  <c r="J220" i="6"/>
  <c r="L220" i="6" s="1"/>
  <c r="G221" i="6"/>
  <c r="J221" i="6" l="1"/>
  <c r="L221" i="6" s="1"/>
  <c r="G222" i="6"/>
  <c r="E222" i="6"/>
  <c r="F223" i="6"/>
  <c r="E223" i="6" l="1"/>
  <c r="F224" i="6"/>
  <c r="J222" i="6"/>
  <c r="L222" i="6" s="1"/>
  <c r="G223" i="6"/>
  <c r="J223" i="6" l="1"/>
  <c r="L223" i="6" s="1"/>
  <c r="G224" i="6"/>
  <c r="E224" i="6"/>
  <c r="F225" i="6"/>
  <c r="E225" i="6" l="1"/>
  <c r="F226" i="6"/>
  <c r="J224" i="6"/>
  <c r="L224" i="6" s="1"/>
  <c r="G225" i="6"/>
  <c r="J225" i="6" l="1"/>
  <c r="L225" i="6" s="1"/>
  <c r="G226" i="6"/>
  <c r="E226" i="6"/>
  <c r="F227" i="6"/>
  <c r="E227" i="6" l="1"/>
  <c r="F228" i="6"/>
  <c r="J226" i="6"/>
  <c r="L226" i="6" s="1"/>
  <c r="G227" i="6"/>
  <c r="J227" i="6" l="1"/>
  <c r="L227" i="6" s="1"/>
  <c r="G228" i="6"/>
  <c r="E228" i="6"/>
  <c r="F229" i="6"/>
  <c r="E229" i="6" l="1"/>
  <c r="F230" i="6"/>
  <c r="J228" i="6"/>
  <c r="L228" i="6" s="1"/>
  <c r="G229" i="6"/>
  <c r="J229" i="6" l="1"/>
  <c r="L229" i="6" s="1"/>
  <c r="G230" i="6"/>
  <c r="E230" i="6"/>
  <c r="F231" i="6"/>
  <c r="E231" i="6" l="1"/>
  <c r="F232" i="6"/>
  <c r="J230" i="6"/>
  <c r="L230" i="6" s="1"/>
  <c r="G231" i="6"/>
  <c r="J231" i="6" l="1"/>
  <c r="L231" i="6" s="1"/>
  <c r="G232" i="6"/>
  <c r="F233" i="6"/>
  <c r="E232" i="6"/>
  <c r="J232" i="6" l="1"/>
  <c r="L232" i="6" s="1"/>
  <c r="G233" i="6"/>
  <c r="E233" i="6"/>
  <c r="F234" i="6"/>
  <c r="E234" i="6" l="1"/>
  <c r="F235" i="6"/>
  <c r="J233" i="6"/>
  <c r="L233" i="6" s="1"/>
  <c r="G234" i="6"/>
  <c r="J234" i="6" l="1"/>
  <c r="L234" i="6" s="1"/>
  <c r="G235" i="6"/>
  <c r="E235" i="6"/>
  <c r="F236" i="6"/>
  <c r="E236" i="6" l="1"/>
  <c r="F237" i="6"/>
  <c r="J235" i="6"/>
  <c r="L235" i="6" s="1"/>
  <c r="G236" i="6"/>
  <c r="J236" i="6" l="1"/>
  <c r="L236" i="6" s="1"/>
  <c r="G237" i="6"/>
  <c r="E237" i="6"/>
  <c r="F238" i="6"/>
  <c r="E238" i="6" l="1"/>
  <c r="F239" i="6"/>
  <c r="J237" i="6"/>
  <c r="L237" i="6" s="1"/>
  <c r="G238" i="6"/>
  <c r="J238" i="6" l="1"/>
  <c r="L238" i="6" s="1"/>
  <c r="G239" i="6"/>
  <c r="E239" i="6"/>
  <c r="F240" i="6"/>
  <c r="E240" i="6" l="1"/>
  <c r="F241" i="6"/>
  <c r="J239" i="6"/>
  <c r="L239" i="6" s="1"/>
  <c r="G240" i="6"/>
  <c r="J240" i="6" l="1"/>
  <c r="L240" i="6" s="1"/>
  <c r="G241" i="6"/>
  <c r="E241" i="6"/>
  <c r="F242" i="6"/>
  <c r="E242" i="6" l="1"/>
  <c r="F243" i="6"/>
  <c r="J241" i="6"/>
  <c r="L241" i="6" s="1"/>
  <c r="G242" i="6"/>
  <c r="J242" i="6" l="1"/>
  <c r="L242" i="6" s="1"/>
  <c r="G243" i="6"/>
  <c r="E243" i="6"/>
  <c r="F244" i="6"/>
  <c r="J243" i="6" l="1"/>
  <c r="L243" i="6" s="1"/>
  <c r="G244" i="6"/>
  <c r="E244" i="6"/>
  <c r="F245" i="6"/>
  <c r="E245" i="6" l="1"/>
  <c r="F246" i="6"/>
  <c r="J244" i="6"/>
  <c r="L244" i="6" s="1"/>
  <c r="G245" i="6"/>
  <c r="J245" i="6" l="1"/>
  <c r="L245" i="6" s="1"/>
  <c r="G246" i="6"/>
  <c r="E246" i="6"/>
  <c r="F247" i="6"/>
  <c r="E247" i="6" l="1"/>
  <c r="F248" i="6"/>
  <c r="J246" i="6"/>
  <c r="L246" i="6" s="1"/>
  <c r="G247" i="6"/>
  <c r="J247" i="6" l="1"/>
  <c r="L247" i="6" s="1"/>
  <c r="G248" i="6"/>
  <c r="E248" i="6"/>
  <c r="F249" i="6"/>
  <c r="E249" i="6" l="1"/>
  <c r="F250" i="6"/>
  <c r="J248" i="6"/>
  <c r="L248" i="6" s="1"/>
  <c r="G249" i="6"/>
  <c r="J249" i="6" l="1"/>
  <c r="L249" i="6" s="1"/>
  <c r="G250" i="6"/>
  <c r="F251" i="6"/>
  <c r="E250" i="6"/>
  <c r="E251" i="6" l="1"/>
  <c r="F252" i="6"/>
  <c r="J250" i="6"/>
  <c r="L250" i="6" s="1"/>
  <c r="G251" i="6"/>
  <c r="E252" i="6" l="1"/>
  <c r="F253" i="6"/>
  <c r="J251" i="6"/>
  <c r="L251" i="6" s="1"/>
  <c r="G252" i="6"/>
  <c r="J252" i="6" l="1"/>
  <c r="L252" i="6" s="1"/>
  <c r="G253" i="6"/>
  <c r="E253" i="6"/>
  <c r="F254" i="6"/>
  <c r="E254" i="6" l="1"/>
  <c r="F255" i="6"/>
  <c r="J253" i="6"/>
  <c r="L253" i="6" s="1"/>
  <c r="G254" i="6"/>
  <c r="J254" i="6" l="1"/>
  <c r="L254" i="6" s="1"/>
  <c r="G255" i="6"/>
  <c r="E255" i="6"/>
  <c r="F256" i="6"/>
  <c r="J255" i="6" l="1"/>
  <c r="L255" i="6" s="1"/>
  <c r="G256" i="6"/>
  <c r="E256" i="6"/>
  <c r="F257" i="6"/>
  <c r="E257" i="6" l="1"/>
  <c r="F258" i="6"/>
  <c r="J256" i="6"/>
  <c r="L256" i="6" s="1"/>
  <c r="G257" i="6"/>
  <c r="J257" i="6" l="1"/>
  <c r="L257" i="6" s="1"/>
  <c r="G258" i="6"/>
  <c r="E258" i="6"/>
  <c r="F259" i="6"/>
  <c r="E259" i="6" l="1"/>
  <c r="F260" i="6"/>
  <c r="J258" i="6"/>
  <c r="L258" i="6" s="1"/>
  <c r="G259" i="6"/>
  <c r="J259" i="6" l="1"/>
  <c r="L259" i="6" s="1"/>
  <c r="G260" i="6"/>
  <c r="E260" i="6"/>
  <c r="F261" i="6"/>
  <c r="E261" i="6" l="1"/>
  <c r="F262" i="6"/>
  <c r="J260" i="6"/>
  <c r="L260" i="6" s="1"/>
  <c r="G261" i="6"/>
  <c r="J261" i="6" l="1"/>
  <c r="L261" i="6" s="1"/>
  <c r="G262" i="6"/>
  <c r="E262" i="6"/>
  <c r="F263" i="6"/>
  <c r="J262" i="6" l="1"/>
  <c r="L262" i="6" s="1"/>
  <c r="G263" i="6"/>
  <c r="E263" i="6"/>
  <c r="F264" i="6"/>
  <c r="E264" i="6" l="1"/>
  <c r="F265" i="6"/>
  <c r="J263" i="6"/>
  <c r="L263" i="6" s="1"/>
  <c r="G264" i="6"/>
  <c r="J264" i="6" l="1"/>
  <c r="L264" i="6" s="1"/>
  <c r="G265" i="6"/>
  <c r="F266" i="6"/>
  <c r="E265" i="6"/>
  <c r="J265" i="6" l="1"/>
  <c r="L265" i="6" s="1"/>
  <c r="G266" i="6"/>
  <c r="E266" i="6"/>
  <c r="F267" i="6"/>
  <c r="J266" i="6" l="1"/>
  <c r="L266" i="6" s="1"/>
  <c r="G267" i="6"/>
  <c r="E267" i="6"/>
  <c r="F268" i="6"/>
  <c r="E268" i="6" l="1"/>
  <c r="F269" i="6"/>
  <c r="J267" i="6"/>
  <c r="L267" i="6" s="1"/>
  <c r="G268" i="6"/>
  <c r="J268" i="6" l="1"/>
  <c r="L268" i="6" s="1"/>
  <c r="G269" i="6"/>
  <c r="E269" i="6"/>
  <c r="F270" i="6"/>
  <c r="E270" i="6" l="1"/>
  <c r="F271" i="6"/>
  <c r="J269" i="6"/>
  <c r="L269" i="6" s="1"/>
  <c r="G270" i="6"/>
  <c r="J270" i="6" l="1"/>
  <c r="L270" i="6" s="1"/>
  <c r="G271" i="6"/>
  <c r="E271" i="6"/>
  <c r="F272" i="6"/>
  <c r="J271" i="6" l="1"/>
  <c r="L271" i="6" s="1"/>
  <c r="G272" i="6"/>
  <c r="E272" i="6"/>
  <c r="F273" i="6"/>
  <c r="F274" i="6" l="1"/>
  <c r="E273" i="6"/>
  <c r="J272" i="6"/>
  <c r="L272" i="6" s="1"/>
  <c r="G273" i="6"/>
  <c r="J273" i="6" l="1"/>
  <c r="L273" i="6" s="1"/>
  <c r="G274" i="6"/>
  <c r="E274" i="6"/>
  <c r="F275" i="6"/>
  <c r="E275" i="6" l="1"/>
  <c r="F276" i="6"/>
  <c r="J274" i="6"/>
  <c r="L274" i="6" s="1"/>
  <c r="G275" i="6"/>
  <c r="F277" i="6" l="1"/>
  <c r="E276" i="6"/>
  <c r="J275" i="6"/>
  <c r="L275" i="6" s="1"/>
  <c r="G276" i="6"/>
  <c r="J276" i="6" l="1"/>
  <c r="L276" i="6" s="1"/>
  <c r="G277" i="6"/>
  <c r="E277" i="6"/>
  <c r="F278" i="6"/>
  <c r="E278" i="6" l="1"/>
  <c r="F279" i="6"/>
  <c r="J277" i="6"/>
  <c r="L277" i="6" s="1"/>
  <c r="G278" i="6"/>
  <c r="J278" i="6" l="1"/>
  <c r="L278" i="6" s="1"/>
  <c r="G279" i="6"/>
  <c r="F280" i="6"/>
  <c r="E279" i="6"/>
  <c r="J279" i="6" l="1"/>
  <c r="L279" i="6" s="1"/>
  <c r="G280" i="6"/>
  <c r="E280" i="6"/>
  <c r="F281" i="6"/>
  <c r="E281" i="6" l="1"/>
  <c r="F282" i="6"/>
  <c r="J280" i="6"/>
  <c r="L280" i="6" s="1"/>
  <c r="G281" i="6"/>
  <c r="E282" i="6" l="1"/>
  <c r="F283" i="6"/>
  <c r="J281" i="6"/>
  <c r="L281" i="6" s="1"/>
  <c r="G282" i="6"/>
  <c r="J282" i="6" l="1"/>
  <c r="L282" i="6" s="1"/>
  <c r="G283" i="6"/>
  <c r="E283" i="6"/>
  <c r="F284" i="6"/>
  <c r="E284" i="6" l="1"/>
  <c r="F285" i="6"/>
  <c r="J283" i="6"/>
  <c r="L283" i="6" s="1"/>
  <c r="G284" i="6"/>
  <c r="J284" i="6" l="1"/>
  <c r="L284" i="6" s="1"/>
  <c r="G285" i="6"/>
  <c r="E285" i="6"/>
  <c r="F286" i="6"/>
  <c r="J285" i="6" l="1"/>
  <c r="L285" i="6" s="1"/>
  <c r="G286" i="6"/>
  <c r="E286" i="6"/>
  <c r="F287" i="6"/>
  <c r="J286" i="6" l="1"/>
  <c r="L286" i="6" s="1"/>
  <c r="G287" i="6"/>
  <c r="E287" i="6"/>
  <c r="F288" i="6"/>
  <c r="E288" i="6" l="1"/>
  <c r="F289" i="6"/>
  <c r="J287" i="6"/>
  <c r="L287" i="6" s="1"/>
  <c r="G288" i="6"/>
  <c r="J288" i="6" l="1"/>
  <c r="L288" i="6" s="1"/>
  <c r="G289" i="6"/>
  <c r="E289" i="6"/>
  <c r="F290" i="6"/>
  <c r="E290" i="6" l="1"/>
  <c r="F291" i="6"/>
  <c r="J289" i="6"/>
  <c r="L289" i="6" s="1"/>
  <c r="G290" i="6"/>
  <c r="J290" i="6" l="1"/>
  <c r="L290" i="6" s="1"/>
  <c r="G291" i="6"/>
  <c r="E291" i="6"/>
  <c r="F292" i="6"/>
  <c r="E292" i="6" l="1"/>
  <c r="F293" i="6"/>
  <c r="J291" i="6"/>
  <c r="L291" i="6" s="1"/>
  <c r="G292" i="6"/>
  <c r="E293" i="6" l="1"/>
  <c r="F294" i="6"/>
  <c r="J292" i="6"/>
  <c r="L292" i="6" s="1"/>
  <c r="G293" i="6"/>
  <c r="J293" i="6" l="1"/>
  <c r="L293" i="6" s="1"/>
  <c r="G294" i="6"/>
  <c r="E294" i="6"/>
  <c r="F295" i="6"/>
  <c r="E295" i="6" l="1"/>
  <c r="F296" i="6"/>
  <c r="J294" i="6"/>
  <c r="L294" i="6" s="1"/>
  <c r="G295" i="6"/>
  <c r="J295" i="6" l="1"/>
  <c r="L295" i="6" s="1"/>
  <c r="G296" i="6"/>
  <c r="F297" i="6"/>
  <c r="E296" i="6"/>
  <c r="J296" i="6" l="1"/>
  <c r="L296" i="6" s="1"/>
  <c r="G297" i="6"/>
  <c r="E297" i="6"/>
  <c r="F298" i="6"/>
  <c r="E298" i="6" l="1"/>
  <c r="F299" i="6"/>
  <c r="J297" i="6"/>
  <c r="L297" i="6" s="1"/>
  <c r="G298" i="6"/>
  <c r="J298" i="6" l="1"/>
  <c r="L298" i="6" s="1"/>
  <c r="G299" i="6"/>
  <c r="E299" i="6"/>
  <c r="F300" i="6"/>
  <c r="E300" i="6" l="1"/>
  <c r="F301" i="6"/>
  <c r="J299" i="6"/>
  <c r="L299" i="6" s="1"/>
  <c r="G300" i="6"/>
  <c r="E301" i="6" l="1"/>
  <c r="F302" i="6"/>
  <c r="J300" i="6"/>
  <c r="L300" i="6" s="1"/>
  <c r="G301" i="6"/>
  <c r="J301" i="6" l="1"/>
  <c r="L301" i="6" s="1"/>
  <c r="G302" i="6"/>
  <c r="E302" i="6"/>
  <c r="F303" i="6"/>
  <c r="E303" i="6" l="1"/>
  <c r="F304" i="6"/>
  <c r="J302" i="6"/>
  <c r="L302" i="6" s="1"/>
  <c r="G303" i="6"/>
  <c r="J303" i="6" l="1"/>
  <c r="L303" i="6" s="1"/>
  <c r="G304" i="6"/>
  <c r="E304" i="6"/>
  <c r="F305" i="6"/>
  <c r="J304" i="6" l="1"/>
  <c r="L304" i="6" s="1"/>
  <c r="G305" i="6"/>
  <c r="E305" i="6"/>
  <c r="F306" i="6"/>
  <c r="F307" i="6" l="1"/>
  <c r="E306" i="6"/>
  <c r="J305" i="6"/>
  <c r="L305" i="6" s="1"/>
  <c r="G306" i="6"/>
  <c r="J306" i="6" l="1"/>
  <c r="L306" i="6" s="1"/>
  <c r="G307" i="6"/>
  <c r="E307" i="6"/>
  <c r="F308" i="6"/>
  <c r="E308" i="6" l="1"/>
  <c r="F309" i="6"/>
  <c r="J307" i="6"/>
  <c r="L307" i="6" s="1"/>
  <c r="G308" i="6"/>
  <c r="E309" i="6" l="1"/>
  <c r="F310" i="6"/>
  <c r="J308" i="6"/>
  <c r="L308" i="6" s="1"/>
  <c r="G309" i="6"/>
  <c r="J309" i="6" l="1"/>
  <c r="L309" i="6" s="1"/>
  <c r="G310" i="6"/>
  <c r="E310" i="6"/>
  <c r="F311" i="6"/>
  <c r="J310" i="6" l="1"/>
  <c r="L310" i="6" s="1"/>
  <c r="G311" i="6"/>
  <c r="E311" i="6"/>
  <c r="F312" i="6"/>
  <c r="F313" i="6" l="1"/>
  <c r="E312" i="6"/>
  <c r="J311" i="6"/>
  <c r="L311" i="6" s="1"/>
  <c r="G312" i="6"/>
  <c r="J312" i="6" l="1"/>
  <c r="L312" i="6" s="1"/>
  <c r="G313" i="6"/>
  <c r="E313" i="6"/>
  <c r="F314" i="6"/>
  <c r="F315" i="6" l="1"/>
  <c r="E314" i="6"/>
  <c r="J313" i="6"/>
  <c r="L313" i="6" s="1"/>
  <c r="G314" i="6"/>
  <c r="J314" i="6" l="1"/>
  <c r="L314" i="6" s="1"/>
  <c r="G315" i="6"/>
  <c r="E315" i="6"/>
  <c r="F316" i="6"/>
  <c r="E316" i="6" l="1"/>
  <c r="F317" i="6"/>
  <c r="J315" i="6"/>
  <c r="L315" i="6" s="1"/>
  <c r="G316" i="6"/>
  <c r="J316" i="6" l="1"/>
  <c r="L316" i="6" s="1"/>
  <c r="G317" i="6"/>
  <c r="E317" i="6"/>
  <c r="F318" i="6"/>
  <c r="E318" i="6" l="1"/>
  <c r="F319" i="6"/>
  <c r="J317" i="6"/>
  <c r="L317" i="6" s="1"/>
  <c r="G318" i="6"/>
  <c r="J318" i="6" l="1"/>
  <c r="L318" i="6" s="1"/>
  <c r="G319" i="6"/>
  <c r="E319" i="6"/>
  <c r="F320" i="6"/>
  <c r="J319" i="6" l="1"/>
  <c r="L319" i="6" s="1"/>
  <c r="G320" i="6"/>
  <c r="E320" i="6"/>
  <c r="F321" i="6"/>
  <c r="E321" i="6" l="1"/>
  <c r="F322" i="6"/>
  <c r="J320" i="6"/>
  <c r="L320" i="6" s="1"/>
  <c r="G321" i="6"/>
  <c r="J321" i="6" l="1"/>
  <c r="L321" i="6" s="1"/>
  <c r="G322" i="6"/>
  <c r="E322" i="6"/>
  <c r="F323" i="6"/>
  <c r="E323" i="6" l="1"/>
  <c r="F324" i="6"/>
  <c r="J322" i="6"/>
  <c r="L322" i="6" s="1"/>
  <c r="G323" i="6"/>
  <c r="J323" i="6" l="1"/>
  <c r="L323" i="6" s="1"/>
  <c r="G324" i="6"/>
  <c r="E324" i="6"/>
  <c r="F325" i="6"/>
  <c r="J324" i="6" l="1"/>
  <c r="L324" i="6" s="1"/>
  <c r="G325" i="6"/>
  <c r="E325" i="6"/>
  <c r="F326" i="6"/>
  <c r="E326" i="6" l="1"/>
  <c r="F327" i="6"/>
  <c r="J325" i="6"/>
  <c r="L325" i="6" s="1"/>
  <c r="G326" i="6"/>
  <c r="J326" i="6" l="1"/>
  <c r="L326" i="6" s="1"/>
  <c r="G327" i="6"/>
  <c r="E327" i="6"/>
  <c r="F328" i="6"/>
  <c r="E328" i="6" l="1"/>
  <c r="F329" i="6"/>
  <c r="J327" i="6"/>
  <c r="L327" i="6" s="1"/>
  <c r="G328" i="6"/>
  <c r="E329" i="6" l="1"/>
  <c r="F330" i="6"/>
  <c r="J328" i="6"/>
  <c r="L328" i="6" s="1"/>
  <c r="G329" i="6"/>
  <c r="J329" i="6" l="1"/>
  <c r="L329" i="6" s="1"/>
  <c r="G330" i="6"/>
  <c r="E330" i="6"/>
  <c r="F331" i="6"/>
  <c r="J330" i="6" l="1"/>
  <c r="L330" i="6" s="1"/>
  <c r="G331" i="6"/>
  <c r="E331" i="6"/>
  <c r="F332" i="6"/>
  <c r="E332" i="6" l="1"/>
  <c r="F333" i="6"/>
  <c r="J331" i="6"/>
  <c r="L331" i="6" s="1"/>
  <c r="G332" i="6"/>
  <c r="J332" i="6" l="1"/>
  <c r="L332" i="6" s="1"/>
  <c r="G333" i="6"/>
  <c r="F334" i="6"/>
  <c r="E333" i="6"/>
  <c r="E334" i="6" l="1"/>
  <c r="F335" i="6"/>
  <c r="J333" i="6"/>
  <c r="L333" i="6" s="1"/>
  <c r="G334" i="6"/>
  <c r="J334" i="6" l="1"/>
  <c r="L334" i="6" s="1"/>
  <c r="G335" i="6"/>
  <c r="E335" i="6"/>
  <c r="F336" i="6"/>
  <c r="E336" i="6" l="1"/>
  <c r="F337" i="6"/>
  <c r="J335" i="6"/>
  <c r="L335" i="6" s="1"/>
  <c r="G336" i="6"/>
  <c r="J336" i="6" l="1"/>
  <c r="L336" i="6" s="1"/>
  <c r="G337" i="6"/>
  <c r="E337" i="6"/>
  <c r="F338" i="6"/>
  <c r="E338" i="6" l="1"/>
  <c r="F339" i="6"/>
  <c r="J337" i="6"/>
  <c r="L337" i="6" s="1"/>
  <c r="G338" i="6"/>
  <c r="J338" i="6" l="1"/>
  <c r="L338" i="6" s="1"/>
  <c r="G339" i="6"/>
  <c r="E339" i="6"/>
  <c r="F340" i="6"/>
  <c r="E340" i="6" l="1"/>
  <c r="F341" i="6"/>
  <c r="J339" i="6"/>
  <c r="L339" i="6" s="1"/>
  <c r="G340" i="6"/>
  <c r="J340" i="6" l="1"/>
  <c r="L340" i="6" s="1"/>
  <c r="G341" i="6"/>
  <c r="E341" i="6"/>
  <c r="F342" i="6"/>
  <c r="E342" i="6" l="1"/>
  <c r="F343" i="6"/>
  <c r="J341" i="6"/>
  <c r="L341" i="6" s="1"/>
  <c r="G342" i="6"/>
  <c r="J342" i="6" l="1"/>
  <c r="L342" i="6" s="1"/>
  <c r="G343" i="6"/>
  <c r="E343" i="6"/>
  <c r="F344" i="6"/>
  <c r="E344" i="6" l="1"/>
  <c r="F345" i="6"/>
  <c r="J343" i="6"/>
  <c r="L343" i="6" s="1"/>
  <c r="G344" i="6"/>
  <c r="J344" i="6" l="1"/>
  <c r="L344" i="6" s="1"/>
  <c r="G345" i="6"/>
  <c r="F346" i="6"/>
  <c r="E345" i="6"/>
  <c r="J345" i="6" l="1"/>
  <c r="L345" i="6" s="1"/>
  <c r="G346" i="6"/>
  <c r="E346" i="6"/>
  <c r="F347" i="6"/>
  <c r="J346" i="6" l="1"/>
  <c r="L346" i="6" s="1"/>
  <c r="G347" i="6"/>
  <c r="E347" i="6"/>
  <c r="F348" i="6"/>
  <c r="E348" i="6" l="1"/>
  <c r="F349" i="6"/>
  <c r="J347" i="6"/>
  <c r="L347" i="6" s="1"/>
  <c r="G348" i="6"/>
  <c r="J348" i="6" l="1"/>
  <c r="L348" i="6" s="1"/>
  <c r="G349" i="6"/>
  <c r="E349" i="6"/>
  <c r="F350" i="6"/>
  <c r="E350" i="6" l="1"/>
  <c r="F351" i="6"/>
  <c r="J349" i="6"/>
  <c r="L349" i="6" s="1"/>
  <c r="G350" i="6"/>
  <c r="J350" i="6" l="1"/>
  <c r="L350" i="6" s="1"/>
  <c r="G351" i="6"/>
  <c r="E351" i="6"/>
  <c r="F352" i="6"/>
  <c r="E352" i="6" l="1"/>
  <c r="F353" i="6"/>
  <c r="J351" i="6"/>
  <c r="L351" i="6" s="1"/>
  <c r="G352" i="6"/>
  <c r="J352" i="6" l="1"/>
  <c r="L352" i="6" s="1"/>
  <c r="G353" i="6"/>
  <c r="E353" i="6"/>
  <c r="F354" i="6"/>
  <c r="F355" i="6" l="1"/>
  <c r="E354" i="6"/>
  <c r="J353" i="6"/>
  <c r="L353" i="6" s="1"/>
  <c r="G354" i="6"/>
  <c r="J354" i="6" l="1"/>
  <c r="L354" i="6" s="1"/>
  <c r="G355" i="6"/>
  <c r="E355" i="6"/>
  <c r="F356" i="6"/>
  <c r="J355" i="6" l="1"/>
  <c r="L355" i="6" s="1"/>
  <c r="G356" i="6"/>
  <c r="E356" i="6"/>
  <c r="F357" i="6"/>
  <c r="E357" i="6" l="1"/>
  <c r="F358" i="6"/>
  <c r="J356" i="6"/>
  <c r="L356" i="6" s="1"/>
  <c r="G357" i="6"/>
  <c r="J357" i="6" l="1"/>
  <c r="L357" i="6" s="1"/>
  <c r="G358" i="6"/>
  <c r="E358" i="6"/>
  <c r="F359" i="6"/>
  <c r="E359" i="6" l="1"/>
  <c r="F360" i="6"/>
  <c r="J358" i="6"/>
  <c r="L358" i="6" s="1"/>
  <c r="G359" i="6"/>
  <c r="J359" i="6" l="1"/>
  <c r="L359" i="6" s="1"/>
  <c r="G360" i="6"/>
  <c r="E360" i="6"/>
  <c r="F361" i="6"/>
  <c r="E361" i="6" l="1"/>
  <c r="F362" i="6"/>
  <c r="J360" i="6"/>
  <c r="L360" i="6" s="1"/>
  <c r="G361" i="6"/>
  <c r="J361" i="6" l="1"/>
  <c r="L361" i="6" s="1"/>
  <c r="G362" i="6"/>
  <c r="E362" i="6"/>
  <c r="F363" i="6"/>
  <c r="J362" i="6" l="1"/>
  <c r="L362" i="6" s="1"/>
  <c r="G363" i="6"/>
  <c r="E363" i="6"/>
  <c r="F364" i="6"/>
  <c r="E364" i="6" l="1"/>
  <c r="F365" i="6"/>
  <c r="J363" i="6"/>
  <c r="L363" i="6" s="1"/>
  <c r="G364" i="6"/>
  <c r="J364" i="6" l="1"/>
  <c r="L364" i="6" s="1"/>
  <c r="G365" i="6"/>
  <c r="E365" i="6"/>
  <c r="F366" i="6"/>
  <c r="E366" i="6" l="1"/>
  <c r="F367" i="6"/>
  <c r="J365" i="6"/>
  <c r="L365" i="6" s="1"/>
  <c r="G366" i="6"/>
  <c r="J366" i="6" l="1"/>
  <c r="L366" i="6" s="1"/>
  <c r="G367" i="6"/>
  <c r="E367" i="6"/>
  <c r="F368" i="6"/>
  <c r="E368" i="6" l="1"/>
  <c r="F369" i="6"/>
  <c r="J367" i="6"/>
  <c r="L367" i="6" s="1"/>
  <c r="G368" i="6"/>
  <c r="E369" i="6" l="1"/>
  <c r="F370" i="6"/>
  <c r="J368" i="6"/>
  <c r="L368" i="6" s="1"/>
  <c r="G369" i="6"/>
  <c r="J369" i="6" l="1"/>
  <c r="L369" i="6" s="1"/>
  <c r="G370" i="6"/>
  <c r="E370" i="6"/>
  <c r="F371" i="6"/>
  <c r="J370" i="6" l="1"/>
  <c r="L370" i="6" s="1"/>
  <c r="G371" i="6"/>
  <c r="E371" i="6"/>
  <c r="F372" i="6"/>
  <c r="E372" i="6" l="1"/>
  <c r="F373" i="6"/>
  <c r="J371" i="6"/>
  <c r="L371" i="6" s="1"/>
  <c r="G372" i="6"/>
  <c r="J372" i="6" l="1"/>
  <c r="L372" i="6" s="1"/>
  <c r="G373" i="6"/>
  <c r="E373" i="6"/>
  <c r="F374" i="6"/>
  <c r="J373" i="6" l="1"/>
  <c r="L373" i="6" s="1"/>
  <c r="G374" i="6"/>
  <c r="E374" i="6"/>
  <c r="F375" i="6"/>
  <c r="E375" i="6" l="1"/>
  <c r="F376" i="6"/>
  <c r="J374" i="6"/>
  <c r="L374" i="6" s="1"/>
  <c r="G375" i="6"/>
  <c r="J375" i="6" l="1"/>
  <c r="L375" i="6" s="1"/>
  <c r="G376" i="6"/>
  <c r="E376" i="6"/>
  <c r="F377" i="6"/>
  <c r="F378" i="6" l="1"/>
  <c r="E377" i="6"/>
  <c r="J376" i="6"/>
  <c r="L376" i="6" s="1"/>
  <c r="G377" i="6"/>
  <c r="J377" i="6" l="1"/>
  <c r="L377" i="6" s="1"/>
  <c r="G378" i="6"/>
  <c r="E378" i="6"/>
  <c r="F379" i="6"/>
  <c r="E379" i="6" l="1"/>
  <c r="F380" i="6"/>
  <c r="J378" i="6"/>
  <c r="L378" i="6" s="1"/>
  <c r="G379" i="6"/>
  <c r="J379" i="6" l="1"/>
  <c r="L379" i="6" s="1"/>
  <c r="G380" i="6"/>
  <c r="E380" i="6"/>
  <c r="F381" i="6"/>
  <c r="E381" i="6" l="1"/>
  <c r="F382" i="6"/>
  <c r="J380" i="6"/>
  <c r="L380" i="6" s="1"/>
  <c r="G381" i="6"/>
  <c r="J381" i="6" l="1"/>
  <c r="L381" i="6" s="1"/>
  <c r="G382" i="6"/>
  <c r="E382" i="6"/>
  <c r="F383" i="6"/>
  <c r="J382" i="6" l="1"/>
  <c r="L382" i="6" s="1"/>
  <c r="G383" i="6"/>
  <c r="E383" i="6"/>
  <c r="F384" i="6"/>
  <c r="E384" i="6" l="1"/>
  <c r="F385" i="6"/>
  <c r="J383" i="6"/>
  <c r="L383" i="6" s="1"/>
  <c r="G384" i="6"/>
  <c r="J384" i="6" l="1"/>
  <c r="L384" i="6" s="1"/>
  <c r="G385" i="6"/>
  <c r="F386" i="6"/>
  <c r="E385" i="6"/>
  <c r="J385" i="6" l="1"/>
  <c r="L385" i="6" s="1"/>
  <c r="G386" i="6"/>
  <c r="E386" i="6"/>
  <c r="F387" i="6"/>
  <c r="E387" i="6" l="1"/>
  <c r="F388" i="6"/>
  <c r="J386" i="6"/>
  <c r="L386" i="6" s="1"/>
  <c r="G387" i="6"/>
  <c r="J387" i="6" l="1"/>
  <c r="L387" i="6" s="1"/>
  <c r="G388" i="6"/>
  <c r="E388" i="6"/>
  <c r="F389" i="6"/>
  <c r="E389" i="6" l="1"/>
  <c r="F390" i="6"/>
  <c r="J388" i="6"/>
  <c r="L388" i="6" s="1"/>
  <c r="G389" i="6"/>
  <c r="E390" i="6" l="1"/>
  <c r="F391" i="6"/>
  <c r="J389" i="6"/>
  <c r="L389" i="6" s="1"/>
  <c r="G390" i="6"/>
  <c r="J390" i="6" l="1"/>
  <c r="L390" i="6" s="1"/>
  <c r="G391" i="6"/>
  <c r="E391" i="6"/>
  <c r="F392" i="6"/>
  <c r="E392" i="6" l="1"/>
  <c r="F393" i="6"/>
  <c r="J391" i="6"/>
  <c r="L391" i="6" s="1"/>
  <c r="G392" i="6"/>
  <c r="E393" i="6" l="1"/>
  <c r="F394" i="6"/>
  <c r="J392" i="6"/>
  <c r="L392" i="6" s="1"/>
  <c r="G393" i="6"/>
  <c r="J393" i="6" l="1"/>
  <c r="L393" i="6" s="1"/>
  <c r="G394" i="6"/>
  <c r="E394" i="6"/>
  <c r="F395" i="6"/>
  <c r="E395" i="6" l="1"/>
  <c r="F396" i="6"/>
  <c r="J394" i="6"/>
  <c r="L394" i="6" s="1"/>
  <c r="G395" i="6"/>
  <c r="J395" i="6" l="1"/>
  <c r="L395" i="6" s="1"/>
  <c r="G396" i="6"/>
  <c r="E396" i="6"/>
  <c r="F397" i="6"/>
  <c r="E397" i="6" l="1"/>
  <c r="F398" i="6"/>
  <c r="J396" i="6"/>
  <c r="L396" i="6" s="1"/>
  <c r="G397" i="6"/>
  <c r="J397" i="6" l="1"/>
  <c r="L397" i="6" s="1"/>
  <c r="G398" i="6"/>
  <c r="E398" i="6"/>
  <c r="F399" i="6"/>
  <c r="E399" i="6" l="1"/>
  <c r="F400" i="6"/>
  <c r="J398" i="6"/>
  <c r="L398" i="6" s="1"/>
  <c r="G399" i="6"/>
  <c r="J399" i="6" l="1"/>
  <c r="L399" i="6" s="1"/>
  <c r="G400" i="6"/>
  <c r="E400" i="6"/>
  <c r="F401" i="6"/>
  <c r="J400" i="6" l="1"/>
  <c r="L400" i="6" s="1"/>
  <c r="G401" i="6"/>
  <c r="E401" i="6"/>
  <c r="F402" i="6"/>
  <c r="E402" i="6" l="1"/>
  <c r="F403" i="6"/>
  <c r="J401" i="6"/>
  <c r="L401" i="6" s="1"/>
  <c r="G402" i="6"/>
  <c r="J402" i="6" l="1"/>
  <c r="L402" i="6" s="1"/>
  <c r="G403" i="6"/>
  <c r="E403" i="6"/>
  <c r="F404" i="6"/>
  <c r="E404" i="6" l="1"/>
  <c r="F405" i="6"/>
  <c r="J403" i="6"/>
  <c r="L403" i="6" s="1"/>
  <c r="G404" i="6"/>
  <c r="E405" i="6" l="1"/>
  <c r="F406" i="6"/>
  <c r="J404" i="6"/>
  <c r="L404" i="6" s="1"/>
  <c r="G405" i="6"/>
  <c r="J405" i="6" l="1"/>
  <c r="L405" i="6" s="1"/>
  <c r="G406" i="6"/>
  <c r="E406" i="6"/>
  <c r="F407" i="6"/>
  <c r="E407" i="6" l="1"/>
  <c r="F408" i="6"/>
  <c r="J406" i="6"/>
  <c r="L406" i="6" s="1"/>
  <c r="G407" i="6"/>
  <c r="J407" i="6" l="1"/>
  <c r="L407" i="6" s="1"/>
  <c r="G408" i="6"/>
  <c r="E408" i="6"/>
  <c r="F409" i="6"/>
  <c r="J408" i="6" l="1"/>
  <c r="L408" i="6" s="1"/>
  <c r="G409" i="6"/>
  <c r="E409" i="6"/>
  <c r="F410" i="6"/>
  <c r="E410" i="6" l="1"/>
  <c r="F411" i="6"/>
  <c r="J409" i="6"/>
  <c r="L409" i="6" s="1"/>
  <c r="G410" i="6"/>
  <c r="J410" i="6" l="1"/>
  <c r="L410" i="6" s="1"/>
  <c r="G411" i="6"/>
  <c r="E411" i="6"/>
  <c r="F412" i="6"/>
  <c r="E412" i="6" l="1"/>
  <c r="F413" i="6"/>
  <c r="J411" i="6"/>
  <c r="L411" i="6" s="1"/>
  <c r="G412" i="6"/>
  <c r="E413" i="6" l="1"/>
  <c r="F414" i="6"/>
  <c r="J412" i="6"/>
  <c r="L412" i="6" s="1"/>
  <c r="G413" i="6"/>
  <c r="J413" i="6" l="1"/>
  <c r="L413" i="6" s="1"/>
  <c r="G414" i="6"/>
  <c r="E414" i="6"/>
  <c r="F415" i="6"/>
  <c r="J414" i="6" l="1"/>
  <c r="L414" i="6" s="1"/>
  <c r="G415" i="6"/>
  <c r="E415" i="6"/>
  <c r="F416" i="6"/>
  <c r="E416" i="6" l="1"/>
  <c r="F417" i="6"/>
  <c r="J415" i="6"/>
  <c r="L415" i="6" s="1"/>
  <c r="G416" i="6"/>
  <c r="E417" i="6" l="1"/>
  <c r="F418" i="6"/>
  <c r="J416" i="6"/>
  <c r="L416" i="6" s="1"/>
  <c r="G417" i="6"/>
  <c r="J417" i="6" l="1"/>
  <c r="L417" i="6" s="1"/>
  <c r="G418" i="6"/>
  <c r="E418" i="6"/>
  <c r="F419" i="6"/>
  <c r="J418" i="6" l="1"/>
  <c r="L418" i="6" s="1"/>
  <c r="G419" i="6"/>
  <c r="E419" i="6"/>
  <c r="F420" i="6"/>
  <c r="E420" i="6" l="1"/>
  <c r="F421" i="6"/>
  <c r="J419" i="6"/>
  <c r="L419" i="6" s="1"/>
  <c r="G420" i="6"/>
  <c r="E421" i="6" l="1"/>
  <c r="F422" i="6"/>
  <c r="J420" i="6"/>
  <c r="L420" i="6" s="1"/>
  <c r="G421" i="6"/>
  <c r="J421" i="6" l="1"/>
  <c r="L421" i="6" s="1"/>
  <c r="G422" i="6"/>
  <c r="E422" i="6"/>
  <c r="F423" i="6"/>
  <c r="E423" i="6" l="1"/>
  <c r="F424" i="6"/>
  <c r="J422" i="6"/>
  <c r="L422" i="6" s="1"/>
  <c r="G423" i="6"/>
  <c r="J423" i="6" l="1"/>
  <c r="L423" i="6" s="1"/>
  <c r="G424" i="6"/>
  <c r="E424" i="6"/>
  <c r="F425" i="6"/>
  <c r="E425" i="6" l="1"/>
  <c r="F426" i="6"/>
  <c r="J424" i="6"/>
  <c r="L424" i="6" s="1"/>
  <c r="G425" i="6"/>
  <c r="J425" i="6" l="1"/>
  <c r="L425" i="6" s="1"/>
  <c r="G426" i="6"/>
  <c r="E426" i="6"/>
  <c r="F427" i="6"/>
  <c r="E427" i="6" l="1"/>
  <c r="F428" i="6"/>
  <c r="J426" i="6"/>
  <c r="L426" i="6" s="1"/>
  <c r="G427" i="6"/>
  <c r="J427" i="6" l="1"/>
  <c r="L427" i="6" s="1"/>
  <c r="G428" i="6"/>
  <c r="E428" i="6"/>
  <c r="F429" i="6"/>
  <c r="E429" i="6" l="1"/>
  <c r="F430" i="6"/>
  <c r="J428" i="6"/>
  <c r="L428" i="6" s="1"/>
  <c r="G429" i="6"/>
  <c r="J429" i="6" l="1"/>
  <c r="L429" i="6" s="1"/>
  <c r="G430" i="6"/>
  <c r="E430" i="6"/>
  <c r="F431" i="6"/>
  <c r="E431" i="6" l="1"/>
  <c r="F432" i="6"/>
  <c r="J430" i="6"/>
  <c r="L430" i="6" s="1"/>
  <c r="G431" i="6"/>
  <c r="J431" i="6" l="1"/>
  <c r="L431" i="6" s="1"/>
  <c r="G432" i="6"/>
  <c r="E432" i="6"/>
  <c r="F433" i="6"/>
  <c r="E433" i="6" l="1"/>
  <c r="F434" i="6"/>
  <c r="J432" i="6"/>
  <c r="L432" i="6" s="1"/>
  <c r="G433" i="6"/>
  <c r="J433" i="6" l="1"/>
  <c r="L433" i="6" s="1"/>
  <c r="G434" i="6"/>
  <c r="E434" i="6"/>
  <c r="F435" i="6"/>
  <c r="E435" i="6" l="1"/>
  <c r="F436" i="6"/>
  <c r="J434" i="6"/>
  <c r="L434" i="6" s="1"/>
  <c r="G435" i="6"/>
  <c r="J435" i="6" l="1"/>
  <c r="L435" i="6" s="1"/>
  <c r="G436" i="6"/>
  <c r="E436" i="6"/>
  <c r="F437" i="6"/>
  <c r="E437" i="6" l="1"/>
  <c r="F438" i="6"/>
  <c r="J436" i="6"/>
  <c r="L436" i="6" s="1"/>
  <c r="G437" i="6"/>
  <c r="J437" i="6" l="1"/>
  <c r="L437" i="6" s="1"/>
  <c r="G438" i="6"/>
  <c r="E438" i="6"/>
  <c r="F439" i="6"/>
  <c r="J438" i="6" l="1"/>
  <c r="L438" i="6" s="1"/>
  <c r="G439" i="6"/>
  <c r="E439" i="6"/>
  <c r="F440" i="6"/>
  <c r="E440" i="6" l="1"/>
  <c r="F441" i="6"/>
  <c r="J439" i="6"/>
  <c r="L439" i="6" s="1"/>
  <c r="G440" i="6"/>
  <c r="J440" i="6" l="1"/>
  <c r="L440" i="6" s="1"/>
  <c r="G441" i="6"/>
  <c r="E441" i="6"/>
  <c r="F442" i="6"/>
  <c r="E442" i="6" l="1"/>
  <c r="F443" i="6"/>
  <c r="J441" i="6"/>
  <c r="L441" i="6" s="1"/>
  <c r="G442" i="6"/>
  <c r="J442" i="6" l="1"/>
  <c r="L442" i="6" s="1"/>
  <c r="G443" i="6"/>
  <c r="E443" i="6"/>
  <c r="F444" i="6"/>
  <c r="E444" i="6" l="1"/>
  <c r="F445" i="6"/>
  <c r="J443" i="6"/>
  <c r="L443" i="6" s="1"/>
  <c r="G444" i="6"/>
  <c r="J444" i="6" l="1"/>
  <c r="L444" i="6" s="1"/>
  <c r="G445" i="6"/>
  <c r="E445" i="6"/>
  <c r="F446" i="6"/>
  <c r="J445" i="6" l="1"/>
  <c r="L445" i="6" s="1"/>
  <c r="G446" i="6"/>
  <c r="E446" i="6"/>
  <c r="F447" i="6"/>
  <c r="E447" i="6" l="1"/>
  <c r="F448" i="6"/>
  <c r="J446" i="6"/>
  <c r="L446" i="6" s="1"/>
  <c r="G447" i="6"/>
  <c r="E448" i="6" l="1"/>
  <c r="F449" i="6"/>
  <c r="J447" i="6"/>
  <c r="L447" i="6" s="1"/>
  <c r="G448" i="6"/>
  <c r="J448" i="6" l="1"/>
  <c r="L448" i="6" s="1"/>
  <c r="G449" i="6"/>
  <c r="E449" i="6"/>
  <c r="F450" i="6"/>
  <c r="E450" i="6" l="1"/>
  <c r="F451" i="6"/>
  <c r="J449" i="6"/>
  <c r="L449" i="6" s="1"/>
  <c r="G450" i="6"/>
  <c r="E451" i="6" l="1"/>
  <c r="F452" i="6"/>
  <c r="J450" i="6"/>
  <c r="L450" i="6" s="1"/>
  <c r="G451" i="6"/>
  <c r="J451" i="6" l="1"/>
  <c r="L451" i="6" s="1"/>
  <c r="G452" i="6"/>
  <c r="E452" i="6"/>
  <c r="F453" i="6"/>
  <c r="E453" i="6" l="1"/>
  <c r="F454" i="6"/>
  <c r="J452" i="6"/>
  <c r="L452" i="6" s="1"/>
  <c r="G453" i="6"/>
  <c r="J453" i="6" l="1"/>
  <c r="L453" i="6" s="1"/>
  <c r="G454" i="6"/>
  <c r="E454" i="6"/>
  <c r="F455" i="6"/>
  <c r="J454" i="6" l="1"/>
  <c r="L454" i="6" s="1"/>
  <c r="G455" i="6"/>
  <c r="E455" i="6"/>
  <c r="F456" i="6"/>
  <c r="E456" i="6" l="1"/>
  <c r="F457" i="6"/>
  <c r="J455" i="6"/>
  <c r="L455" i="6" s="1"/>
  <c r="G456" i="6"/>
  <c r="J456" i="6" l="1"/>
  <c r="L456" i="6" s="1"/>
  <c r="G457" i="6"/>
  <c r="E457" i="6"/>
  <c r="F458" i="6"/>
  <c r="E458" i="6" l="1"/>
  <c r="F459" i="6"/>
  <c r="J457" i="6"/>
  <c r="L457" i="6" s="1"/>
  <c r="G458" i="6"/>
  <c r="E459" i="6" l="1"/>
  <c r="F460" i="6"/>
  <c r="J458" i="6"/>
  <c r="L458" i="6" s="1"/>
  <c r="G459" i="6"/>
  <c r="J459" i="6" l="1"/>
  <c r="L459" i="6" s="1"/>
  <c r="G460" i="6"/>
  <c r="E460" i="6"/>
  <c r="F461" i="6"/>
  <c r="E461" i="6" l="1"/>
  <c r="F462" i="6"/>
  <c r="J460" i="6"/>
  <c r="L460" i="6" s="1"/>
  <c r="G461" i="6"/>
  <c r="J461" i="6" l="1"/>
  <c r="L461" i="6" s="1"/>
  <c r="G462" i="6"/>
  <c r="E462" i="6"/>
  <c r="F463" i="6"/>
  <c r="E463" i="6" l="1"/>
  <c r="F464" i="6"/>
  <c r="J462" i="6"/>
  <c r="L462" i="6" s="1"/>
  <c r="G463" i="6"/>
  <c r="J463" i="6" l="1"/>
  <c r="L463" i="6" s="1"/>
  <c r="G464" i="6"/>
  <c r="E464" i="6"/>
  <c r="F465" i="6"/>
  <c r="J464" i="6" l="1"/>
  <c r="L464" i="6" s="1"/>
  <c r="G465" i="6"/>
  <c r="E465" i="6"/>
  <c r="F466" i="6"/>
  <c r="E466" i="6" l="1"/>
  <c r="F467" i="6"/>
  <c r="J465" i="6"/>
  <c r="L465" i="6" s="1"/>
  <c r="G466" i="6"/>
  <c r="J466" i="6" l="1"/>
  <c r="L466" i="6" s="1"/>
  <c r="G467" i="6"/>
  <c r="E467" i="6"/>
  <c r="F468" i="6"/>
  <c r="E468" i="6" l="1"/>
  <c r="F469" i="6"/>
  <c r="J467" i="6"/>
  <c r="L467" i="6" s="1"/>
  <c r="G468" i="6"/>
  <c r="J468" i="6" l="1"/>
  <c r="L468" i="6" s="1"/>
  <c r="G469" i="6"/>
  <c r="E469" i="6"/>
  <c r="F470" i="6"/>
  <c r="E470" i="6" l="1"/>
  <c r="F471" i="6"/>
  <c r="J469" i="6"/>
  <c r="L469" i="6" s="1"/>
  <c r="G470" i="6"/>
  <c r="J470" i="6" l="1"/>
  <c r="L470" i="6" s="1"/>
  <c r="G471" i="6"/>
  <c r="E471" i="6"/>
  <c r="F472" i="6"/>
  <c r="E472" i="6" l="1"/>
  <c r="F473" i="6"/>
  <c r="J471" i="6"/>
  <c r="L471" i="6" s="1"/>
  <c r="G472" i="6"/>
  <c r="J472" i="6" l="1"/>
  <c r="L472" i="6" s="1"/>
  <c r="G473" i="6"/>
  <c r="E473" i="6"/>
  <c r="F474" i="6"/>
  <c r="E474" i="6" l="1"/>
  <c r="F475" i="6"/>
  <c r="J473" i="6"/>
  <c r="L473" i="6" s="1"/>
  <c r="G474" i="6"/>
  <c r="J474" i="6" l="1"/>
  <c r="L474" i="6" s="1"/>
  <c r="G475" i="6"/>
  <c r="E475" i="6"/>
  <c r="F476" i="6"/>
  <c r="J475" i="6" l="1"/>
  <c r="L475" i="6" s="1"/>
  <c r="G476" i="6"/>
  <c r="E476" i="6"/>
  <c r="F477" i="6"/>
  <c r="E477" i="6" l="1"/>
  <c r="F478" i="6"/>
  <c r="J476" i="6"/>
  <c r="L476" i="6" s="1"/>
  <c r="G477" i="6"/>
  <c r="E478" i="6" l="1"/>
  <c r="F479" i="6"/>
  <c r="J477" i="6"/>
  <c r="L477" i="6" s="1"/>
  <c r="G478" i="6"/>
  <c r="J478" i="6" l="1"/>
  <c r="L478" i="6" s="1"/>
  <c r="G479" i="6"/>
  <c r="E479" i="6"/>
  <c r="F480" i="6"/>
  <c r="E480" i="6" l="1"/>
  <c r="F481" i="6"/>
  <c r="J479" i="6"/>
  <c r="L479" i="6" s="1"/>
  <c r="G480" i="6"/>
  <c r="E481" i="6" l="1"/>
  <c r="F482" i="6"/>
  <c r="J480" i="6"/>
  <c r="L480" i="6" s="1"/>
  <c r="G481" i="6"/>
  <c r="J481" i="6" l="1"/>
  <c r="L481" i="6" s="1"/>
  <c r="G482" i="6"/>
  <c r="E482" i="6"/>
  <c r="F483" i="6"/>
  <c r="J482" i="6" l="1"/>
  <c r="L482" i="6" s="1"/>
  <c r="G483" i="6"/>
  <c r="E483" i="6"/>
  <c r="F484" i="6"/>
  <c r="E484" i="6" l="1"/>
  <c r="F485" i="6"/>
  <c r="J483" i="6"/>
  <c r="L483" i="6" s="1"/>
  <c r="G484" i="6"/>
  <c r="J484" i="6" l="1"/>
  <c r="L484" i="6" s="1"/>
  <c r="G485" i="6"/>
  <c r="E485" i="6"/>
  <c r="F486" i="6"/>
  <c r="E486" i="6" l="1"/>
  <c r="F487" i="6"/>
  <c r="J485" i="6"/>
  <c r="L485" i="6" s="1"/>
  <c r="G486" i="6"/>
  <c r="J486" i="6" l="1"/>
  <c r="L486" i="6" s="1"/>
  <c r="G487" i="6"/>
  <c r="E487" i="6"/>
  <c r="F488" i="6"/>
  <c r="E488" i="6" l="1"/>
  <c r="F489" i="6"/>
  <c r="J487" i="6"/>
  <c r="L487" i="6" s="1"/>
  <c r="G488" i="6"/>
  <c r="J488" i="6" l="1"/>
  <c r="L488" i="6" s="1"/>
  <c r="G489" i="6"/>
  <c r="E489" i="6"/>
  <c r="F490" i="6"/>
  <c r="E490" i="6" l="1"/>
  <c r="F491" i="6"/>
  <c r="J489" i="6"/>
  <c r="L489" i="6" s="1"/>
  <c r="G490" i="6"/>
  <c r="J490" i="6" l="1"/>
  <c r="L490" i="6" s="1"/>
  <c r="G491" i="6"/>
  <c r="E491" i="6"/>
  <c r="F492" i="6"/>
  <c r="E492" i="6" l="1"/>
  <c r="F493" i="6"/>
  <c r="J491" i="6"/>
  <c r="L491" i="6" s="1"/>
  <c r="G492" i="6"/>
  <c r="J492" i="6" l="1"/>
  <c r="L492" i="6" s="1"/>
  <c r="G493" i="6"/>
  <c r="E493" i="6"/>
  <c r="F494" i="6"/>
  <c r="E494" i="6" l="1"/>
  <c r="F495" i="6"/>
  <c r="J493" i="6"/>
  <c r="L493" i="6" s="1"/>
  <c r="G494" i="6"/>
  <c r="J494" i="6" l="1"/>
  <c r="L494" i="6" s="1"/>
  <c r="G495" i="6"/>
  <c r="E495" i="6"/>
  <c r="F496" i="6"/>
  <c r="E496" i="6" l="1"/>
  <c r="F497" i="6"/>
  <c r="J495" i="6"/>
  <c r="L495" i="6" s="1"/>
  <c r="G496" i="6"/>
  <c r="J496" i="6" l="1"/>
  <c r="L496" i="6" s="1"/>
  <c r="G497" i="6"/>
  <c r="E497" i="6"/>
  <c r="F498" i="6"/>
  <c r="E498" i="6" l="1"/>
  <c r="F499" i="6"/>
  <c r="J497" i="6"/>
  <c r="L497" i="6" s="1"/>
  <c r="G498" i="6"/>
  <c r="J498" i="6" l="1"/>
  <c r="L498" i="6" s="1"/>
  <c r="G499" i="6"/>
  <c r="E499" i="6"/>
  <c r="F500" i="6"/>
  <c r="E500" i="6" l="1"/>
  <c r="F501" i="6"/>
  <c r="J499" i="6"/>
  <c r="L499" i="6" s="1"/>
  <c r="G500" i="6"/>
  <c r="J500" i="6" l="1"/>
  <c r="L500" i="6" s="1"/>
  <c r="G501" i="6"/>
  <c r="E501" i="6"/>
  <c r="F502" i="6"/>
  <c r="E502" i="6" l="1"/>
  <c r="F503" i="6"/>
  <c r="J501" i="6"/>
  <c r="L501" i="6" s="1"/>
  <c r="G502" i="6"/>
  <c r="J502" i="6" l="1"/>
  <c r="L502" i="6" s="1"/>
  <c r="G503" i="6"/>
  <c r="E503" i="6"/>
  <c r="F504" i="6"/>
  <c r="E504" i="6" l="1"/>
  <c r="F505" i="6"/>
  <c r="J503" i="6"/>
  <c r="L503" i="6" s="1"/>
  <c r="G504" i="6"/>
  <c r="J504" i="6" l="1"/>
  <c r="L504" i="6" s="1"/>
  <c r="G505" i="6"/>
  <c r="E505" i="6"/>
  <c r="F506" i="6"/>
  <c r="E506" i="6" l="1"/>
  <c r="F507" i="6"/>
  <c r="J505" i="6"/>
  <c r="L505" i="6" s="1"/>
  <c r="G506" i="6"/>
  <c r="E507" i="6" l="1"/>
  <c r="F508" i="6"/>
  <c r="J506" i="6"/>
  <c r="L506" i="6" s="1"/>
  <c r="G507" i="6"/>
  <c r="J507" i="6" l="1"/>
  <c r="L507" i="6" s="1"/>
  <c r="G508" i="6"/>
  <c r="E508" i="6"/>
  <c r="F509" i="6"/>
  <c r="E509" i="6" l="1"/>
  <c r="F510" i="6"/>
  <c r="J508" i="6"/>
  <c r="L508" i="6" s="1"/>
  <c r="G509" i="6"/>
  <c r="E510" i="6" l="1"/>
  <c r="F511" i="6"/>
  <c r="J509" i="6"/>
  <c r="L509" i="6" s="1"/>
  <c r="G510" i="6"/>
  <c r="J510" i="6" l="1"/>
  <c r="L510" i="6" s="1"/>
  <c r="G511" i="6"/>
  <c r="E511" i="6"/>
  <c r="F512" i="6"/>
  <c r="E512" i="6" l="1"/>
  <c r="F513" i="6"/>
  <c r="J511" i="6"/>
  <c r="L511" i="6" s="1"/>
  <c r="G512" i="6"/>
  <c r="J512" i="6" l="1"/>
  <c r="L512" i="6" s="1"/>
  <c r="G513" i="6"/>
  <c r="E513" i="6"/>
  <c r="F514" i="6"/>
  <c r="E514" i="6" l="1"/>
  <c r="F515" i="6"/>
  <c r="J513" i="6"/>
  <c r="L513" i="6" s="1"/>
  <c r="G514" i="6"/>
  <c r="J514" i="6" l="1"/>
  <c r="L514" i="6" s="1"/>
  <c r="G515" i="6"/>
  <c r="E515" i="6"/>
  <c r="F516" i="6"/>
  <c r="E516" i="6" l="1"/>
  <c r="F517" i="6"/>
  <c r="J515" i="6"/>
  <c r="L515" i="6" s="1"/>
  <c r="G516" i="6"/>
  <c r="J516" i="6" l="1"/>
  <c r="L516" i="6" s="1"/>
  <c r="G517" i="6"/>
  <c r="E517" i="6"/>
  <c r="F518" i="6"/>
  <c r="E518" i="6" l="1"/>
  <c r="F519" i="6"/>
  <c r="J517" i="6"/>
  <c r="L517" i="6" s="1"/>
  <c r="G518" i="6"/>
  <c r="J518" i="6" l="1"/>
  <c r="L518" i="6" s="1"/>
  <c r="G519" i="6"/>
  <c r="E519" i="6"/>
  <c r="F520" i="6"/>
  <c r="E520" i="6" l="1"/>
  <c r="F521" i="6"/>
  <c r="J519" i="6"/>
  <c r="L519" i="6" s="1"/>
  <c r="G520" i="6"/>
  <c r="J520" i="6" l="1"/>
  <c r="L520" i="6" s="1"/>
  <c r="G521" i="6"/>
  <c r="E521" i="6"/>
  <c r="F522" i="6"/>
  <c r="E522" i="6" l="1"/>
  <c r="F523" i="6"/>
  <c r="J521" i="6"/>
  <c r="L521" i="6" s="1"/>
  <c r="G522" i="6"/>
  <c r="J522" i="6" l="1"/>
  <c r="L522" i="6" s="1"/>
  <c r="G523" i="6"/>
  <c r="E523" i="6"/>
  <c r="F524" i="6"/>
  <c r="E524" i="6" l="1"/>
  <c r="F525" i="6"/>
  <c r="J523" i="6"/>
  <c r="L523" i="6" s="1"/>
  <c r="G524" i="6"/>
  <c r="E525" i="6" l="1"/>
  <c r="F526" i="6"/>
  <c r="J524" i="6"/>
  <c r="L524" i="6" s="1"/>
  <c r="G525" i="6"/>
  <c r="J525" i="6" l="1"/>
  <c r="L525" i="6" s="1"/>
  <c r="G526" i="6"/>
  <c r="E526" i="6"/>
  <c r="F527" i="6"/>
  <c r="E527" i="6" l="1"/>
  <c r="F528" i="6"/>
  <c r="J526" i="6"/>
  <c r="L526" i="6" s="1"/>
  <c r="G527" i="6"/>
  <c r="J527" i="6" l="1"/>
  <c r="L527" i="6" s="1"/>
  <c r="G528" i="6"/>
  <c r="E528" i="6"/>
  <c r="F529" i="6"/>
  <c r="E529" i="6" l="1"/>
  <c r="F530" i="6"/>
  <c r="J528" i="6"/>
  <c r="L528" i="6" s="1"/>
  <c r="G529" i="6"/>
  <c r="J529" i="6" l="1"/>
  <c r="L529" i="6" s="1"/>
  <c r="G530" i="6"/>
  <c r="E530" i="6"/>
  <c r="F531" i="6"/>
  <c r="E531" i="6" l="1"/>
  <c r="F532" i="6"/>
  <c r="J530" i="6"/>
  <c r="L530" i="6" s="1"/>
  <c r="G531" i="6"/>
  <c r="E532" i="6" l="1"/>
  <c r="F533" i="6"/>
  <c r="J531" i="6"/>
  <c r="L531" i="6" s="1"/>
  <c r="G532" i="6"/>
  <c r="J532" i="6" l="1"/>
  <c r="L532" i="6" s="1"/>
  <c r="G533" i="6"/>
  <c r="E533" i="6"/>
  <c r="F534" i="6"/>
  <c r="E534" i="6" l="1"/>
  <c r="F535" i="6"/>
  <c r="J533" i="6"/>
  <c r="L533" i="6" s="1"/>
  <c r="G534" i="6"/>
  <c r="J534" i="6" l="1"/>
  <c r="L534" i="6" s="1"/>
  <c r="G535" i="6"/>
  <c r="E535" i="6"/>
  <c r="F536" i="6"/>
  <c r="E536" i="6" l="1"/>
  <c r="F537" i="6"/>
  <c r="J535" i="6"/>
  <c r="L535" i="6" s="1"/>
  <c r="G536" i="6"/>
  <c r="J536" i="6" l="1"/>
  <c r="L536" i="6" s="1"/>
  <c r="G537" i="6"/>
  <c r="E537" i="6"/>
  <c r="F538" i="6"/>
  <c r="E538" i="6" l="1"/>
  <c r="F539" i="6"/>
  <c r="J537" i="6"/>
  <c r="L537" i="6" s="1"/>
  <c r="G538" i="6"/>
  <c r="J538" i="6" l="1"/>
  <c r="L538" i="6" s="1"/>
  <c r="G539" i="6"/>
  <c r="E539" i="6"/>
  <c r="F540" i="6"/>
  <c r="E540" i="6" l="1"/>
  <c r="F541" i="6"/>
  <c r="J539" i="6"/>
  <c r="L539" i="6" s="1"/>
  <c r="G540" i="6"/>
  <c r="J540" i="6" l="1"/>
  <c r="L540" i="6" s="1"/>
  <c r="G541" i="6"/>
  <c r="E541" i="6"/>
  <c r="F542" i="6"/>
  <c r="E542" i="6" l="1"/>
  <c r="F543" i="6"/>
  <c r="J541" i="6"/>
  <c r="L541" i="6" s="1"/>
  <c r="G542" i="6"/>
  <c r="J542" i="6" l="1"/>
  <c r="L542" i="6" s="1"/>
  <c r="G543" i="6"/>
  <c r="E543" i="6"/>
  <c r="F544" i="6"/>
  <c r="E544" i="6" l="1"/>
  <c r="F545" i="6"/>
  <c r="J543" i="6"/>
  <c r="L543" i="6" s="1"/>
  <c r="G544" i="6"/>
  <c r="J544" i="6" l="1"/>
  <c r="L544" i="6" s="1"/>
  <c r="G545" i="6"/>
  <c r="E545" i="6"/>
  <c r="F546" i="6"/>
  <c r="J545" i="6" l="1"/>
  <c r="L545" i="6" s="1"/>
  <c r="G546" i="6"/>
  <c r="E546" i="6"/>
  <c r="F547" i="6"/>
  <c r="E547" i="6" l="1"/>
  <c r="F548" i="6"/>
  <c r="J546" i="6"/>
  <c r="L546" i="6" s="1"/>
  <c r="G547" i="6"/>
  <c r="J547" i="6" l="1"/>
  <c r="L547" i="6" s="1"/>
  <c r="G548" i="6"/>
  <c r="E548" i="6"/>
  <c r="F549" i="6"/>
  <c r="J548" i="6" l="1"/>
  <c r="L548" i="6" s="1"/>
  <c r="G549" i="6"/>
  <c r="E549" i="6"/>
  <c r="F550" i="6"/>
  <c r="E550" i="6" l="1"/>
  <c r="F551" i="6"/>
  <c r="J549" i="6"/>
  <c r="L549" i="6" s="1"/>
  <c r="G550" i="6"/>
  <c r="J550" i="6" l="1"/>
  <c r="L550" i="6" s="1"/>
  <c r="G551" i="6"/>
  <c r="E551" i="6"/>
  <c r="F552" i="6"/>
  <c r="E552" i="6" l="1"/>
  <c r="F553" i="6"/>
  <c r="J551" i="6"/>
  <c r="L551" i="6" s="1"/>
  <c r="G552" i="6"/>
  <c r="J552" i="6" l="1"/>
  <c r="L552" i="6" s="1"/>
  <c r="G553" i="6"/>
  <c r="E553" i="6"/>
  <c r="F554" i="6"/>
  <c r="E554" i="6" l="1"/>
  <c r="F555" i="6"/>
  <c r="J553" i="6"/>
  <c r="L553" i="6" s="1"/>
  <c r="G554" i="6"/>
  <c r="J554" i="6" l="1"/>
  <c r="L554" i="6" s="1"/>
  <c r="G555" i="6"/>
  <c r="E555" i="6"/>
  <c r="F556" i="6"/>
  <c r="E556" i="6" l="1"/>
  <c r="F557" i="6"/>
  <c r="J555" i="6"/>
  <c r="L555" i="6" s="1"/>
  <c r="G556" i="6"/>
  <c r="J556" i="6" l="1"/>
  <c r="L556" i="6" s="1"/>
  <c r="G557" i="6"/>
  <c r="E557" i="6"/>
  <c r="F558" i="6"/>
  <c r="E558" i="6" l="1"/>
  <c r="F559" i="6"/>
  <c r="J557" i="6"/>
  <c r="L557" i="6" s="1"/>
  <c r="G558" i="6"/>
  <c r="J558" i="6" l="1"/>
  <c r="L558" i="6" s="1"/>
  <c r="G559" i="6"/>
  <c r="E559" i="6"/>
  <c r="F560" i="6"/>
  <c r="E560" i="6" l="1"/>
  <c r="F561" i="6"/>
  <c r="J559" i="6"/>
  <c r="L559" i="6" s="1"/>
  <c r="G560" i="6"/>
  <c r="J560" i="6" l="1"/>
  <c r="L560" i="6" s="1"/>
  <c r="G561" i="6"/>
  <c r="E561" i="6"/>
  <c r="F562" i="6"/>
  <c r="E562" i="6" l="1"/>
  <c r="F563" i="6"/>
  <c r="J561" i="6"/>
  <c r="L561" i="6" s="1"/>
  <c r="G562" i="6"/>
  <c r="J562" i="6" l="1"/>
  <c r="L562" i="6" s="1"/>
  <c r="G563" i="6"/>
  <c r="E563" i="6"/>
  <c r="F564" i="6"/>
  <c r="E564" i="6" l="1"/>
  <c r="F565" i="6"/>
  <c r="J563" i="6"/>
  <c r="L563" i="6" s="1"/>
  <c r="G564" i="6"/>
  <c r="J564" i="6" l="1"/>
  <c r="L564" i="6" s="1"/>
  <c r="G565" i="6"/>
  <c r="E565" i="6"/>
  <c r="F566" i="6"/>
  <c r="E566" i="6" l="1"/>
  <c r="F567" i="6"/>
  <c r="J565" i="6"/>
  <c r="L565" i="6" s="1"/>
  <c r="G566" i="6"/>
  <c r="J566" i="6" l="1"/>
  <c r="L566" i="6" s="1"/>
  <c r="G567" i="6"/>
  <c r="E567" i="6"/>
  <c r="F568" i="6"/>
  <c r="E568" i="6" l="1"/>
  <c r="F569" i="6"/>
  <c r="J567" i="6"/>
  <c r="L567" i="6" s="1"/>
  <c r="G568" i="6"/>
  <c r="J568" i="6" l="1"/>
  <c r="L568" i="6" s="1"/>
  <c r="G569" i="6"/>
  <c r="E569" i="6"/>
  <c r="F570" i="6"/>
  <c r="E570" i="6" l="1"/>
  <c r="F571" i="6"/>
  <c r="J569" i="6"/>
  <c r="L569" i="6" s="1"/>
  <c r="G570" i="6"/>
  <c r="J570" i="6" l="1"/>
  <c r="L570" i="6" s="1"/>
  <c r="G571" i="6"/>
  <c r="E571" i="6"/>
  <c r="F572" i="6"/>
  <c r="E572" i="6" l="1"/>
  <c r="F573" i="6"/>
  <c r="J571" i="6"/>
  <c r="L571" i="6" s="1"/>
  <c r="G572" i="6"/>
  <c r="J572" i="6" l="1"/>
  <c r="L572" i="6" s="1"/>
  <c r="G573" i="6"/>
  <c r="E573" i="6"/>
  <c r="F574" i="6"/>
  <c r="E574" i="6" l="1"/>
  <c r="F575" i="6"/>
  <c r="J573" i="6"/>
  <c r="L573" i="6" s="1"/>
  <c r="G574" i="6"/>
  <c r="J574" i="6" l="1"/>
  <c r="L574" i="6" s="1"/>
  <c r="G575" i="6"/>
  <c r="E575" i="6"/>
  <c r="F576" i="6"/>
  <c r="E576" i="6" l="1"/>
  <c r="F577" i="6"/>
  <c r="J575" i="6"/>
  <c r="L575" i="6" s="1"/>
  <c r="G576" i="6"/>
  <c r="J576" i="6" l="1"/>
  <c r="L576" i="6" s="1"/>
  <c r="G577" i="6"/>
  <c r="E577" i="6"/>
  <c r="F578" i="6"/>
  <c r="E578" i="6" l="1"/>
  <c r="F579" i="6"/>
  <c r="J577" i="6"/>
  <c r="L577" i="6" s="1"/>
  <c r="G578" i="6"/>
  <c r="J578" i="6" l="1"/>
  <c r="L578" i="6" s="1"/>
  <c r="G579" i="6"/>
  <c r="E579" i="6"/>
  <c r="F580" i="6"/>
  <c r="E580" i="6" l="1"/>
  <c r="F581" i="6"/>
  <c r="J579" i="6"/>
  <c r="L579" i="6" s="1"/>
  <c r="G580" i="6"/>
  <c r="J580" i="6" l="1"/>
  <c r="L580" i="6" s="1"/>
  <c r="G581" i="6"/>
  <c r="E581" i="6"/>
  <c r="F582" i="6"/>
  <c r="E582" i="6" l="1"/>
  <c r="F583" i="6"/>
  <c r="J581" i="6"/>
  <c r="L581" i="6" s="1"/>
  <c r="G582" i="6"/>
  <c r="J582" i="6" l="1"/>
  <c r="L582" i="6" s="1"/>
  <c r="G583" i="6"/>
  <c r="E583" i="6"/>
  <c r="F584" i="6"/>
  <c r="E584" i="6" l="1"/>
  <c r="F585" i="6"/>
  <c r="J583" i="6"/>
  <c r="L583" i="6" s="1"/>
  <c r="G584" i="6"/>
  <c r="J584" i="6" l="1"/>
  <c r="L584" i="6" s="1"/>
  <c r="G585" i="6"/>
  <c r="E585" i="6"/>
  <c r="F586" i="6"/>
  <c r="E586" i="6" l="1"/>
  <c r="F587" i="6"/>
  <c r="J585" i="6"/>
  <c r="L585" i="6" s="1"/>
  <c r="G586" i="6"/>
  <c r="J586" i="6" l="1"/>
  <c r="L586" i="6" s="1"/>
  <c r="G587" i="6"/>
  <c r="E587" i="6"/>
  <c r="F588" i="6"/>
  <c r="E588" i="6" l="1"/>
  <c r="F589" i="6"/>
  <c r="J587" i="6"/>
  <c r="L587" i="6" s="1"/>
  <c r="G588" i="6"/>
  <c r="J588" i="6" l="1"/>
  <c r="L588" i="6" s="1"/>
  <c r="G589" i="6"/>
  <c r="E589" i="6"/>
  <c r="F590" i="6"/>
  <c r="E590" i="6" l="1"/>
  <c r="F591" i="6"/>
  <c r="J589" i="6"/>
  <c r="L589" i="6" s="1"/>
  <c r="G590" i="6"/>
  <c r="J590" i="6" l="1"/>
  <c r="L590" i="6" s="1"/>
  <c r="G591" i="6"/>
  <c r="E591" i="6"/>
  <c r="F592" i="6"/>
  <c r="E592" i="6" l="1"/>
  <c r="F593" i="6"/>
  <c r="J591" i="6"/>
  <c r="L591" i="6" s="1"/>
  <c r="G592" i="6"/>
  <c r="E593" i="6" l="1"/>
  <c r="F594" i="6"/>
  <c r="J592" i="6"/>
  <c r="L592" i="6" s="1"/>
  <c r="G593" i="6"/>
  <c r="J593" i="6" l="1"/>
  <c r="L593" i="6" s="1"/>
  <c r="G594" i="6"/>
  <c r="E594" i="6"/>
  <c r="F595" i="6"/>
  <c r="E595" i="6" l="1"/>
  <c r="F596" i="6"/>
  <c r="J594" i="6"/>
  <c r="L594" i="6" s="1"/>
  <c r="G595" i="6"/>
  <c r="J595" i="6" l="1"/>
  <c r="L595" i="6" s="1"/>
  <c r="G596" i="6"/>
  <c r="E596" i="6"/>
  <c r="F597" i="6"/>
  <c r="J596" i="6" l="1"/>
  <c r="L596" i="6" s="1"/>
  <c r="G597" i="6"/>
  <c r="E597" i="6"/>
  <c r="F598" i="6"/>
  <c r="E598" i="6" l="1"/>
  <c r="F599" i="6"/>
  <c r="J597" i="6"/>
  <c r="L597" i="6" s="1"/>
  <c r="G598" i="6"/>
  <c r="J598" i="6" l="1"/>
  <c r="L598" i="6" s="1"/>
  <c r="G599" i="6"/>
  <c r="E599" i="6"/>
  <c r="F600" i="6"/>
  <c r="E600" i="6" l="1"/>
  <c r="F601" i="6"/>
  <c r="J599" i="6"/>
  <c r="L599" i="6" s="1"/>
  <c r="G600" i="6"/>
  <c r="J600" i="6" l="1"/>
  <c r="L600" i="6" s="1"/>
  <c r="G601" i="6"/>
  <c r="E601" i="6"/>
  <c r="F602" i="6"/>
  <c r="E602" i="6" l="1"/>
  <c r="F603" i="6"/>
  <c r="J601" i="6"/>
  <c r="L601" i="6" s="1"/>
  <c r="G602" i="6"/>
  <c r="J602" i="6" l="1"/>
  <c r="L602" i="6" s="1"/>
  <c r="G603" i="6"/>
  <c r="E603" i="6"/>
  <c r="F604" i="6"/>
  <c r="J603" i="6" l="1"/>
  <c r="L603" i="6" s="1"/>
  <c r="G604" i="6"/>
  <c r="E604" i="6"/>
  <c r="F605" i="6"/>
  <c r="E605" i="6" l="1"/>
  <c r="F606" i="6"/>
  <c r="J604" i="6"/>
  <c r="L604" i="6" s="1"/>
  <c r="G605" i="6"/>
  <c r="J605" i="6" l="1"/>
  <c r="L605" i="6" s="1"/>
  <c r="G606" i="6"/>
  <c r="E606" i="6"/>
  <c r="F607" i="6"/>
  <c r="E607" i="6" l="1"/>
  <c r="F608" i="6"/>
  <c r="J606" i="6"/>
  <c r="L606" i="6" s="1"/>
  <c r="G607" i="6"/>
  <c r="J607" i="6" l="1"/>
  <c r="L607" i="6" s="1"/>
  <c r="G608" i="6"/>
  <c r="E608" i="6"/>
  <c r="F609" i="6"/>
  <c r="E609" i="6" l="1"/>
  <c r="F610" i="6"/>
  <c r="J608" i="6"/>
  <c r="L608" i="6" s="1"/>
  <c r="G609" i="6"/>
  <c r="J609" i="6" l="1"/>
  <c r="L609" i="6" s="1"/>
  <c r="G610" i="6"/>
  <c r="E610" i="6"/>
  <c r="F611" i="6"/>
  <c r="E611" i="6" l="1"/>
  <c r="F612" i="6"/>
  <c r="J610" i="6"/>
  <c r="L610" i="6" s="1"/>
  <c r="G611" i="6"/>
  <c r="J611" i="6" l="1"/>
  <c r="L611" i="6" s="1"/>
  <c r="G612" i="6"/>
  <c r="E612" i="6"/>
  <c r="F613" i="6"/>
  <c r="E613" i="6" l="1"/>
  <c r="F614" i="6"/>
  <c r="J612" i="6"/>
  <c r="L612" i="6" s="1"/>
  <c r="G613" i="6"/>
  <c r="J613" i="6" l="1"/>
  <c r="L613" i="6" s="1"/>
  <c r="G614" i="6"/>
  <c r="E614" i="6"/>
  <c r="F615" i="6"/>
  <c r="J614" i="6" l="1"/>
  <c r="L614" i="6" s="1"/>
  <c r="G615" i="6"/>
  <c r="E615" i="6"/>
  <c r="F616" i="6"/>
  <c r="E616" i="6" l="1"/>
  <c r="F617" i="6"/>
  <c r="J615" i="6"/>
  <c r="L615" i="6" s="1"/>
  <c r="G616" i="6"/>
  <c r="J616" i="6" l="1"/>
  <c r="L616" i="6" s="1"/>
  <c r="G617" i="6"/>
  <c r="E617" i="6"/>
  <c r="F618" i="6"/>
  <c r="E618" i="6" l="1"/>
  <c r="F619" i="6"/>
  <c r="J617" i="6"/>
  <c r="L617" i="6" s="1"/>
  <c r="G618" i="6"/>
  <c r="J618" i="6" l="1"/>
  <c r="L618" i="6" s="1"/>
  <c r="G619" i="6"/>
  <c r="E619" i="6"/>
  <c r="F620" i="6"/>
  <c r="E620" i="6" l="1"/>
  <c r="F621" i="6"/>
  <c r="J619" i="6"/>
  <c r="L619" i="6" s="1"/>
  <c r="G620" i="6"/>
  <c r="E621" i="6" l="1"/>
  <c r="F622" i="6"/>
  <c r="J620" i="6"/>
  <c r="L620" i="6" s="1"/>
  <c r="G621" i="6"/>
  <c r="J621" i="6" l="1"/>
  <c r="L621" i="6" s="1"/>
  <c r="G622" i="6"/>
  <c r="E622" i="6"/>
  <c r="F623" i="6"/>
  <c r="E623" i="6" l="1"/>
  <c r="F624" i="6"/>
  <c r="J622" i="6"/>
  <c r="L622" i="6" s="1"/>
  <c r="G623" i="6"/>
  <c r="J623" i="6" l="1"/>
  <c r="L623" i="6" s="1"/>
  <c r="G624" i="6"/>
  <c r="E624" i="6"/>
  <c r="F625" i="6"/>
  <c r="E625" i="6" l="1"/>
  <c r="F626" i="6"/>
  <c r="J624" i="6"/>
  <c r="L624" i="6" s="1"/>
  <c r="G625" i="6"/>
  <c r="J625" i="6" l="1"/>
  <c r="L625" i="6" s="1"/>
  <c r="G626" i="6"/>
  <c r="E626" i="6"/>
  <c r="F627" i="6"/>
  <c r="E627" i="6" l="1"/>
  <c r="F628" i="6"/>
  <c r="J626" i="6"/>
  <c r="L626" i="6" s="1"/>
  <c r="G627" i="6"/>
  <c r="J627" i="6" l="1"/>
  <c r="L627" i="6" s="1"/>
  <c r="G628" i="6"/>
  <c r="E628" i="6"/>
  <c r="F629" i="6"/>
  <c r="E629" i="6" l="1"/>
  <c r="F630" i="6"/>
  <c r="J628" i="6"/>
  <c r="L628" i="6" s="1"/>
  <c r="G629" i="6"/>
  <c r="J629" i="6" l="1"/>
  <c r="L629" i="6" s="1"/>
  <c r="G630" i="6"/>
  <c r="E630" i="6"/>
  <c r="F631" i="6"/>
  <c r="E631" i="6" l="1"/>
  <c r="F632" i="6"/>
  <c r="J630" i="6"/>
  <c r="L630" i="6" s="1"/>
  <c r="G631" i="6"/>
  <c r="J631" i="6" l="1"/>
  <c r="L631" i="6" s="1"/>
  <c r="G632" i="6"/>
  <c r="E632" i="6"/>
  <c r="F633" i="6"/>
  <c r="E633" i="6" l="1"/>
  <c r="F634" i="6"/>
  <c r="J632" i="6"/>
  <c r="L632" i="6" s="1"/>
  <c r="G633" i="6"/>
  <c r="J633" i="6" l="1"/>
  <c r="L633" i="6" s="1"/>
  <c r="G634" i="6"/>
  <c r="E634" i="6"/>
  <c r="F635" i="6"/>
  <c r="E635" i="6" l="1"/>
  <c r="F636" i="6"/>
  <c r="J634" i="6"/>
  <c r="L634" i="6" s="1"/>
  <c r="G635" i="6"/>
  <c r="J635" i="6" l="1"/>
  <c r="L635" i="6" s="1"/>
  <c r="G636" i="6"/>
  <c r="E636" i="6"/>
  <c r="F637" i="6"/>
  <c r="F638" i="6" l="1"/>
  <c r="E637" i="6"/>
  <c r="J636" i="6"/>
  <c r="L636" i="6" s="1"/>
  <c r="G637" i="6"/>
  <c r="J637" i="6" l="1"/>
  <c r="L637" i="6" s="1"/>
  <c r="G638" i="6"/>
  <c r="E638" i="6"/>
  <c r="F639" i="6"/>
  <c r="E639" i="6" l="1"/>
  <c r="F640" i="6"/>
  <c r="J638" i="6"/>
  <c r="L638" i="6" s="1"/>
  <c r="G639" i="6"/>
  <c r="E640" i="6" l="1"/>
  <c r="F641" i="6"/>
  <c r="J639" i="6"/>
  <c r="L639" i="6" s="1"/>
  <c r="G640" i="6"/>
  <c r="J640" i="6" l="1"/>
  <c r="L640" i="6" s="1"/>
  <c r="G641" i="6"/>
  <c r="E641" i="6"/>
  <c r="F642" i="6"/>
  <c r="J641" i="6" l="1"/>
  <c r="L641" i="6" s="1"/>
  <c r="G642" i="6"/>
  <c r="E642" i="6"/>
  <c r="F643" i="6"/>
  <c r="E643" i="6" l="1"/>
  <c r="F644" i="6"/>
  <c r="J642" i="6"/>
  <c r="L642" i="6" s="1"/>
  <c r="G643" i="6"/>
  <c r="J643" i="6" l="1"/>
  <c r="L643" i="6" s="1"/>
  <c r="G644" i="6"/>
  <c r="E644" i="6"/>
  <c r="F645" i="6"/>
  <c r="E645" i="6" l="1"/>
  <c r="F646" i="6"/>
  <c r="J644" i="6"/>
  <c r="L644" i="6" s="1"/>
  <c r="G645" i="6"/>
  <c r="J645" i="6" l="1"/>
  <c r="L645" i="6" s="1"/>
  <c r="G646" i="6"/>
  <c r="E646" i="6"/>
  <c r="F647" i="6"/>
  <c r="E647" i="6" l="1"/>
  <c r="F648" i="6"/>
  <c r="J646" i="6"/>
  <c r="L646" i="6" s="1"/>
  <c r="G647" i="6"/>
  <c r="J647" i="6" l="1"/>
  <c r="L647" i="6" s="1"/>
  <c r="G648" i="6"/>
  <c r="E648" i="6"/>
  <c r="F649" i="6"/>
  <c r="E649" i="6" l="1"/>
  <c r="F650" i="6"/>
  <c r="J648" i="6"/>
  <c r="L648" i="6" s="1"/>
  <c r="G649" i="6"/>
  <c r="J649" i="6" l="1"/>
  <c r="L649" i="6" s="1"/>
  <c r="G650" i="6"/>
  <c r="E650" i="6"/>
  <c r="F651" i="6"/>
  <c r="E651" i="6" l="1"/>
  <c r="F652" i="6"/>
  <c r="J650" i="6"/>
  <c r="L650" i="6" s="1"/>
  <c r="G651" i="6"/>
  <c r="E652" i="6" l="1"/>
  <c r="F653" i="6"/>
  <c r="J651" i="6"/>
  <c r="L651" i="6" s="1"/>
  <c r="G652" i="6"/>
  <c r="J652" i="6" l="1"/>
  <c r="L652" i="6" s="1"/>
  <c r="G653" i="6"/>
  <c r="E653" i="6"/>
  <c r="F654" i="6"/>
  <c r="E654" i="6" l="1"/>
  <c r="F655" i="6"/>
  <c r="J653" i="6"/>
  <c r="L653" i="6" s="1"/>
  <c r="G654" i="6"/>
  <c r="J654" i="6" l="1"/>
  <c r="L654" i="6" s="1"/>
  <c r="G655" i="6"/>
  <c r="E655" i="6"/>
  <c r="F656" i="6"/>
  <c r="E656" i="6" l="1"/>
  <c r="F657" i="6"/>
  <c r="J655" i="6"/>
  <c r="L655" i="6" s="1"/>
  <c r="G656" i="6"/>
  <c r="E657" i="6" l="1"/>
  <c r="F658" i="6"/>
  <c r="J656" i="6"/>
  <c r="L656" i="6" s="1"/>
  <c r="G657" i="6"/>
  <c r="J657" i="6" l="1"/>
  <c r="L657" i="6" s="1"/>
  <c r="G658" i="6"/>
  <c r="E658" i="6"/>
  <c r="F659" i="6"/>
  <c r="E659" i="6" l="1"/>
  <c r="F660" i="6"/>
  <c r="J658" i="6"/>
  <c r="L658" i="6" s="1"/>
  <c r="G659" i="6"/>
  <c r="J659" i="6" l="1"/>
  <c r="L659" i="6" s="1"/>
  <c r="G660" i="6"/>
  <c r="E660" i="6"/>
  <c r="F661" i="6"/>
  <c r="J660" i="6" l="1"/>
  <c r="L660" i="6" s="1"/>
  <c r="G661" i="6"/>
  <c r="E661" i="6"/>
  <c r="F662" i="6"/>
  <c r="E662" i="6" l="1"/>
  <c r="F663" i="6"/>
  <c r="J661" i="6"/>
  <c r="L661" i="6" s="1"/>
  <c r="G662" i="6"/>
  <c r="J662" i="6" l="1"/>
  <c r="L662" i="6" s="1"/>
  <c r="G663" i="6"/>
  <c r="E663" i="6"/>
  <c r="F664" i="6"/>
  <c r="E664" i="6" l="1"/>
  <c r="F665" i="6"/>
  <c r="J663" i="6"/>
  <c r="L663" i="6" s="1"/>
  <c r="G664" i="6"/>
  <c r="J664" i="6" l="1"/>
  <c r="L664" i="6" s="1"/>
  <c r="G665" i="6"/>
  <c r="E665" i="6"/>
  <c r="F666" i="6"/>
  <c r="E666" i="6" l="1"/>
  <c r="F667" i="6"/>
  <c r="J665" i="6"/>
  <c r="L665" i="6" s="1"/>
  <c r="G666" i="6"/>
  <c r="J666" i="6" l="1"/>
  <c r="L666" i="6" s="1"/>
  <c r="G667" i="6"/>
  <c r="E667" i="6"/>
  <c r="F668" i="6"/>
  <c r="E668" i="6" l="1"/>
  <c r="F669" i="6"/>
  <c r="J667" i="6"/>
  <c r="L667" i="6" s="1"/>
  <c r="G668" i="6"/>
  <c r="J668" i="6" l="1"/>
  <c r="L668" i="6" s="1"/>
  <c r="G669" i="6"/>
  <c r="E669" i="6"/>
  <c r="F670" i="6"/>
  <c r="E670" i="6" l="1"/>
  <c r="F671" i="6"/>
  <c r="J669" i="6"/>
  <c r="L669" i="6" s="1"/>
  <c r="G670" i="6"/>
  <c r="J670" i="6" l="1"/>
  <c r="L670" i="6" s="1"/>
  <c r="G671" i="6"/>
  <c r="E671" i="6"/>
  <c r="F672" i="6"/>
  <c r="J671" i="6" l="1"/>
  <c r="L671" i="6" s="1"/>
  <c r="G672" i="6"/>
  <c r="E672" i="6"/>
  <c r="F673" i="6"/>
  <c r="E673" i="6" l="1"/>
  <c r="F674" i="6"/>
  <c r="J672" i="6"/>
  <c r="L672" i="6" s="1"/>
  <c r="G673" i="6"/>
  <c r="J673" i="6" l="1"/>
  <c r="L673" i="6" s="1"/>
  <c r="G674" i="6"/>
  <c r="E674" i="6"/>
  <c r="F675" i="6"/>
  <c r="E675" i="6" l="1"/>
  <c r="F676" i="6"/>
  <c r="J674" i="6"/>
  <c r="L674" i="6" s="1"/>
  <c r="G675" i="6"/>
  <c r="J675" i="6" l="1"/>
  <c r="L675" i="6" s="1"/>
  <c r="G676" i="6"/>
  <c r="E676" i="6"/>
  <c r="F677" i="6"/>
  <c r="E677" i="6" l="1"/>
  <c r="F678" i="6"/>
  <c r="J676" i="6"/>
  <c r="L676" i="6" s="1"/>
  <c r="G677" i="6"/>
  <c r="J677" i="6" l="1"/>
  <c r="L677" i="6" s="1"/>
  <c r="G678" i="6"/>
  <c r="E678" i="6"/>
  <c r="F679" i="6"/>
  <c r="J678" i="6" l="1"/>
  <c r="L678" i="6" s="1"/>
  <c r="G679" i="6"/>
  <c r="E679" i="6"/>
  <c r="F680" i="6"/>
  <c r="E680" i="6" l="1"/>
  <c r="F681" i="6"/>
  <c r="J679" i="6"/>
  <c r="L679" i="6" s="1"/>
  <c r="G680" i="6"/>
  <c r="J680" i="6" l="1"/>
  <c r="L680" i="6" s="1"/>
  <c r="G681" i="6"/>
  <c r="E681" i="6"/>
  <c r="F682" i="6"/>
  <c r="E682" i="6" l="1"/>
  <c r="F683" i="6"/>
  <c r="J681" i="6"/>
  <c r="L681" i="6" s="1"/>
  <c r="G682" i="6"/>
  <c r="J682" i="6" l="1"/>
  <c r="L682" i="6" s="1"/>
  <c r="G683" i="6"/>
  <c r="E683" i="6"/>
  <c r="F684" i="6"/>
  <c r="J683" i="6" l="1"/>
  <c r="L683" i="6" s="1"/>
  <c r="G684" i="6"/>
  <c r="E684" i="6"/>
  <c r="F685" i="6"/>
  <c r="E685" i="6" l="1"/>
  <c r="F686" i="6"/>
  <c r="J684" i="6"/>
  <c r="L684" i="6" s="1"/>
  <c r="G685" i="6"/>
  <c r="J685" i="6" l="1"/>
  <c r="L685" i="6" s="1"/>
  <c r="G686" i="6"/>
  <c r="E686" i="6"/>
  <c r="F687" i="6"/>
  <c r="E687" i="6" l="1"/>
  <c r="F688" i="6"/>
  <c r="J686" i="6"/>
  <c r="L686" i="6" s="1"/>
  <c r="G687" i="6"/>
  <c r="J687" i="6" l="1"/>
  <c r="L687" i="6" s="1"/>
  <c r="G688" i="6"/>
  <c r="E688" i="6"/>
  <c r="F689" i="6"/>
  <c r="E689" i="6" l="1"/>
  <c r="F690" i="6"/>
  <c r="J688" i="6"/>
  <c r="L688" i="6" s="1"/>
  <c r="G689" i="6"/>
  <c r="J689" i="6" l="1"/>
  <c r="L689" i="6" s="1"/>
  <c r="G690" i="6"/>
  <c r="E690" i="6"/>
  <c r="F691" i="6"/>
  <c r="J690" i="6" l="1"/>
  <c r="L690" i="6" s="1"/>
  <c r="G691" i="6"/>
  <c r="E691" i="6"/>
  <c r="F692" i="6"/>
  <c r="E692" i="6" l="1"/>
  <c r="F693" i="6"/>
  <c r="J691" i="6"/>
  <c r="L691" i="6" s="1"/>
  <c r="G692" i="6"/>
  <c r="J692" i="6" l="1"/>
  <c r="L692" i="6" s="1"/>
  <c r="G693" i="6"/>
  <c r="E693" i="6"/>
  <c r="F694" i="6"/>
  <c r="E694" i="6" l="1"/>
  <c r="F695" i="6"/>
  <c r="J693" i="6"/>
  <c r="L693" i="6" s="1"/>
  <c r="G694" i="6"/>
  <c r="J694" i="6" l="1"/>
  <c r="L694" i="6" s="1"/>
  <c r="G695" i="6"/>
  <c r="E695" i="6"/>
  <c r="F696" i="6"/>
  <c r="E696" i="6" l="1"/>
  <c r="F697" i="6"/>
  <c r="J695" i="6"/>
  <c r="L695" i="6" s="1"/>
  <c r="G696" i="6"/>
  <c r="J696" i="6" l="1"/>
  <c r="L696" i="6" s="1"/>
  <c r="G697" i="6"/>
  <c r="E697" i="6"/>
  <c r="F698" i="6"/>
  <c r="E698" i="6" l="1"/>
  <c r="F699" i="6"/>
  <c r="J697" i="6"/>
  <c r="L697" i="6" s="1"/>
  <c r="G698" i="6"/>
  <c r="J698" i="6" l="1"/>
  <c r="L698" i="6" s="1"/>
  <c r="G699" i="6"/>
  <c r="E699" i="6"/>
  <c r="F700" i="6"/>
  <c r="J699" i="6" l="1"/>
  <c r="L699" i="6" s="1"/>
  <c r="G700" i="6"/>
  <c r="E700" i="6"/>
  <c r="F701" i="6"/>
  <c r="E701" i="6" l="1"/>
  <c r="F702" i="6"/>
  <c r="J700" i="6"/>
  <c r="L700" i="6" s="1"/>
  <c r="G701" i="6"/>
  <c r="J701" i="6" l="1"/>
  <c r="L701" i="6" s="1"/>
  <c r="G702" i="6"/>
  <c r="E702" i="6"/>
  <c r="F703" i="6"/>
  <c r="E703" i="6" l="1"/>
  <c r="F704" i="6"/>
  <c r="J702" i="6"/>
  <c r="L702" i="6" s="1"/>
  <c r="G703" i="6"/>
  <c r="J703" i="6" l="1"/>
  <c r="L703" i="6" s="1"/>
  <c r="G704" i="6"/>
  <c r="E704" i="6"/>
  <c r="F705" i="6"/>
  <c r="E705" i="6" l="1"/>
  <c r="F706" i="6"/>
  <c r="J704" i="6"/>
  <c r="L704" i="6" s="1"/>
  <c r="G705" i="6"/>
  <c r="J705" i="6" l="1"/>
  <c r="L705" i="6" s="1"/>
  <c r="G706" i="6"/>
  <c r="E706" i="6"/>
  <c r="F707" i="6"/>
  <c r="E707" i="6" l="1"/>
  <c r="F708" i="6"/>
  <c r="J706" i="6"/>
  <c r="L706" i="6" s="1"/>
  <c r="G707" i="6"/>
  <c r="J707" i="6" l="1"/>
  <c r="L707" i="6" s="1"/>
  <c r="G708" i="6"/>
  <c r="E708" i="6"/>
  <c r="F709" i="6"/>
  <c r="E709" i="6" l="1"/>
  <c r="F710" i="6"/>
  <c r="J708" i="6"/>
  <c r="L708" i="6" s="1"/>
  <c r="G709" i="6"/>
  <c r="J709" i="6" l="1"/>
  <c r="L709" i="6" s="1"/>
  <c r="G710" i="6"/>
  <c r="E710" i="6"/>
  <c r="F711" i="6"/>
  <c r="E711" i="6" l="1"/>
  <c r="F712" i="6"/>
  <c r="J710" i="6"/>
  <c r="L710" i="6" s="1"/>
  <c r="G711" i="6"/>
  <c r="J711" i="6" l="1"/>
  <c r="L711" i="6" s="1"/>
  <c r="G712" i="6"/>
  <c r="E712" i="6"/>
  <c r="F713" i="6"/>
  <c r="E713" i="6" l="1"/>
  <c r="F714" i="6"/>
  <c r="J712" i="6"/>
  <c r="L712" i="6" s="1"/>
  <c r="G713" i="6"/>
  <c r="J713" i="6" l="1"/>
  <c r="L713" i="6" s="1"/>
  <c r="G714" i="6"/>
  <c r="E714" i="6"/>
  <c r="F715" i="6"/>
  <c r="E715" i="6" l="1"/>
  <c r="F716" i="6"/>
  <c r="J714" i="6"/>
  <c r="L714" i="6" s="1"/>
  <c r="G715" i="6"/>
  <c r="J715" i="6" l="1"/>
  <c r="L715" i="6" s="1"/>
  <c r="G716" i="6"/>
  <c r="E716" i="6"/>
  <c r="F717" i="6"/>
  <c r="J716" i="6" l="1"/>
  <c r="L716" i="6" s="1"/>
  <c r="G717" i="6"/>
  <c r="E717" i="6"/>
  <c r="F718" i="6"/>
  <c r="E718" i="6" l="1"/>
  <c r="F719" i="6"/>
  <c r="J717" i="6"/>
  <c r="L717" i="6" s="1"/>
  <c r="G718" i="6"/>
  <c r="J718" i="6" l="1"/>
  <c r="L718" i="6" s="1"/>
  <c r="G719" i="6"/>
  <c r="E719" i="6"/>
  <c r="F720" i="6"/>
  <c r="E720" i="6" l="1"/>
  <c r="F721" i="6"/>
  <c r="J719" i="6"/>
  <c r="L719" i="6" s="1"/>
  <c r="G720" i="6"/>
  <c r="J720" i="6" l="1"/>
  <c r="L720" i="6" s="1"/>
  <c r="G721" i="6"/>
  <c r="E721" i="6"/>
  <c r="F722" i="6"/>
  <c r="E722" i="6" l="1"/>
  <c r="F723" i="6"/>
  <c r="J721" i="6"/>
  <c r="L721" i="6" s="1"/>
  <c r="G722" i="6"/>
  <c r="J722" i="6" l="1"/>
  <c r="L722" i="6" s="1"/>
  <c r="G723" i="6"/>
  <c r="E723" i="6"/>
  <c r="F724" i="6"/>
  <c r="E724" i="6" l="1"/>
  <c r="F725" i="6"/>
  <c r="J723" i="6"/>
  <c r="L723" i="6" s="1"/>
  <c r="G724" i="6"/>
  <c r="J724" i="6" l="1"/>
  <c r="L724" i="6" s="1"/>
  <c r="G725" i="6"/>
  <c r="E725" i="6"/>
  <c r="F726" i="6"/>
  <c r="J725" i="6" l="1"/>
  <c r="L725" i="6" s="1"/>
  <c r="G726" i="6"/>
  <c r="E726" i="6"/>
  <c r="F727" i="6"/>
  <c r="E727" i="6" l="1"/>
  <c r="F728" i="6"/>
  <c r="J726" i="6"/>
  <c r="L726" i="6" s="1"/>
  <c r="G727" i="6"/>
  <c r="J727" i="6" l="1"/>
  <c r="L727" i="6" s="1"/>
  <c r="G728" i="6"/>
  <c r="E728" i="6"/>
  <c r="F729" i="6"/>
  <c r="E729" i="6" l="1"/>
  <c r="F730" i="6"/>
  <c r="J728" i="6"/>
  <c r="L728" i="6" s="1"/>
  <c r="G729" i="6"/>
  <c r="J729" i="6" l="1"/>
  <c r="L729" i="6" s="1"/>
  <c r="G730" i="6"/>
  <c r="E730" i="6"/>
  <c r="F731" i="6"/>
  <c r="J730" i="6" l="1"/>
  <c r="L730" i="6" s="1"/>
  <c r="G731" i="6"/>
  <c r="E731" i="6"/>
  <c r="F732" i="6"/>
  <c r="E732" i="6" l="1"/>
  <c r="F733" i="6"/>
  <c r="J731" i="6"/>
  <c r="L731" i="6" s="1"/>
  <c r="G732" i="6"/>
  <c r="J732" i="6" l="1"/>
  <c r="L732" i="6" s="1"/>
  <c r="G733" i="6"/>
  <c r="E733" i="6"/>
  <c r="F734" i="6"/>
  <c r="E734" i="6" l="1"/>
  <c r="F735" i="6"/>
  <c r="J733" i="6"/>
  <c r="L733" i="6" s="1"/>
  <c r="G734" i="6"/>
  <c r="J734" i="6" l="1"/>
  <c r="L734" i="6" s="1"/>
  <c r="G735" i="6"/>
  <c r="E735" i="6"/>
  <c r="F736" i="6"/>
  <c r="E736" i="6" l="1"/>
  <c r="F737" i="6"/>
  <c r="J735" i="6"/>
  <c r="L735" i="6" s="1"/>
  <c r="G736" i="6"/>
  <c r="J736" i="6" l="1"/>
  <c r="L736" i="6" s="1"/>
  <c r="G737" i="6"/>
  <c r="E737" i="6"/>
  <c r="F738" i="6"/>
  <c r="E738" i="6" l="1"/>
  <c r="F739" i="6"/>
  <c r="J737" i="6"/>
  <c r="L737" i="6" s="1"/>
  <c r="G738" i="6"/>
  <c r="J738" i="6" l="1"/>
  <c r="L738" i="6" s="1"/>
  <c r="G739" i="6"/>
  <c r="E739" i="6"/>
  <c r="F740" i="6"/>
  <c r="E740" i="6" l="1"/>
  <c r="F741" i="6"/>
  <c r="J739" i="6"/>
  <c r="L739" i="6" s="1"/>
  <c r="G740" i="6"/>
  <c r="J740" i="6" l="1"/>
  <c r="L740" i="6" s="1"/>
  <c r="G741" i="6"/>
  <c r="E741" i="6"/>
  <c r="F742" i="6"/>
  <c r="E742" i="6" l="1"/>
  <c r="F743" i="6"/>
  <c r="J741" i="6"/>
  <c r="L741" i="6" s="1"/>
  <c r="G742" i="6"/>
  <c r="J742" i="6" l="1"/>
  <c r="L742" i="6" s="1"/>
  <c r="G743" i="6"/>
  <c r="E743" i="6"/>
  <c r="F744" i="6"/>
  <c r="E744" i="6" l="1"/>
  <c r="F745" i="6"/>
  <c r="J743" i="6"/>
  <c r="L743" i="6" s="1"/>
  <c r="G744" i="6"/>
  <c r="J744" i="6" l="1"/>
  <c r="L744" i="6" s="1"/>
  <c r="G745" i="6"/>
  <c r="E745" i="6"/>
  <c r="F746" i="6"/>
  <c r="E746" i="6" l="1"/>
  <c r="F747" i="6"/>
  <c r="J745" i="6"/>
  <c r="L745" i="6" s="1"/>
  <c r="G746" i="6"/>
  <c r="J746" i="6" l="1"/>
  <c r="L746" i="6" s="1"/>
  <c r="G747" i="6"/>
  <c r="E747" i="6"/>
  <c r="F748" i="6"/>
  <c r="E748" i="6" l="1"/>
  <c r="F749" i="6"/>
  <c r="J747" i="6"/>
  <c r="L747" i="6" s="1"/>
  <c r="G748" i="6"/>
  <c r="J748" i="6" l="1"/>
  <c r="L748" i="6" s="1"/>
  <c r="G749" i="6"/>
  <c r="E749" i="6"/>
  <c r="F750" i="6"/>
  <c r="E750" i="6" l="1"/>
  <c r="F751" i="6"/>
  <c r="J749" i="6"/>
  <c r="L749" i="6" s="1"/>
  <c r="G750" i="6"/>
  <c r="J750" i="6" l="1"/>
  <c r="L750" i="6" s="1"/>
  <c r="G751" i="6"/>
  <c r="E751" i="6"/>
  <c r="F752" i="6"/>
  <c r="E752" i="6" l="1"/>
  <c r="F753" i="6"/>
  <c r="J751" i="6"/>
  <c r="L751" i="6" s="1"/>
  <c r="G752" i="6"/>
  <c r="J752" i="6" l="1"/>
  <c r="L752" i="6" s="1"/>
  <c r="G753" i="6"/>
  <c r="E753" i="6"/>
  <c r="F754" i="6"/>
  <c r="E754" i="6" l="1"/>
  <c r="F755" i="6"/>
  <c r="J753" i="6"/>
  <c r="L753" i="6" s="1"/>
  <c r="G754" i="6"/>
  <c r="J754" i="6" l="1"/>
  <c r="L754" i="6" s="1"/>
  <c r="G755" i="6"/>
  <c r="E755" i="6"/>
  <c r="F756" i="6"/>
  <c r="E756" i="6" l="1"/>
  <c r="F757" i="6"/>
  <c r="J755" i="6"/>
  <c r="L755" i="6" s="1"/>
  <c r="G756" i="6"/>
  <c r="J756" i="6" l="1"/>
  <c r="L756" i="6" s="1"/>
  <c r="G757" i="6"/>
  <c r="E757" i="6"/>
  <c r="F758" i="6"/>
  <c r="E758" i="6" l="1"/>
  <c r="F759" i="6"/>
  <c r="J757" i="6"/>
  <c r="L757" i="6" s="1"/>
  <c r="G758" i="6"/>
  <c r="J758" i="6" l="1"/>
  <c r="L758" i="6" s="1"/>
  <c r="G759" i="6"/>
  <c r="E759" i="6"/>
  <c r="F760" i="6"/>
  <c r="E760" i="6" l="1"/>
  <c r="F761" i="6"/>
  <c r="J759" i="6"/>
  <c r="L759" i="6" s="1"/>
  <c r="G760" i="6"/>
  <c r="J760" i="6" l="1"/>
  <c r="L760" i="6" s="1"/>
  <c r="G761" i="6"/>
  <c r="E761" i="6"/>
  <c r="F762" i="6"/>
  <c r="E762" i="6" l="1"/>
  <c r="F763" i="6"/>
  <c r="J761" i="6"/>
  <c r="L761" i="6" s="1"/>
  <c r="G762" i="6"/>
  <c r="J762" i="6" l="1"/>
  <c r="L762" i="6" s="1"/>
  <c r="G763" i="6"/>
  <c r="E763" i="6"/>
  <c r="F764" i="6"/>
  <c r="E764" i="6" l="1"/>
  <c r="F765" i="6"/>
  <c r="J763" i="6"/>
  <c r="L763" i="6" s="1"/>
  <c r="G764" i="6"/>
  <c r="J764" i="6" l="1"/>
  <c r="L764" i="6" s="1"/>
  <c r="G765" i="6"/>
  <c r="E765" i="6"/>
  <c r="F766" i="6"/>
  <c r="E766" i="6" l="1"/>
  <c r="F767" i="6"/>
  <c r="E767" i="6" s="1"/>
  <c r="J765" i="6"/>
  <c r="L765" i="6" s="1"/>
  <c r="G766" i="6"/>
  <c r="J766" i="6" l="1"/>
  <c r="L766" i="6" s="1"/>
  <c r="G767" i="6"/>
  <c r="J767" i="6" s="1"/>
  <c r="L767" i="6" s="1"/>
</calcChain>
</file>

<file path=xl/sharedStrings.xml><?xml version="1.0" encoding="utf-8"?>
<sst xmlns="http://schemas.openxmlformats.org/spreadsheetml/2006/main" count="41" uniqueCount="36">
  <si>
    <t>Tsamp(h)</t>
  </si>
  <si>
    <t>3 min</t>
  </si>
  <si>
    <t>Clevidipine</t>
  </si>
  <si>
    <t>5 min</t>
  </si>
  <si>
    <t>10 min</t>
  </si>
  <si>
    <t>Vd(L/kg)</t>
  </si>
  <si>
    <t>Vd(L)</t>
  </si>
  <si>
    <t>CL(L/h)</t>
  </si>
  <si>
    <t>Enter weight (kg) in cell below:</t>
  </si>
  <si>
    <t>Table of flow patterns according to step duration:</t>
  </si>
  <si>
    <t>Enter sampling rate (h)--&gt;</t>
  </si>
  <si>
    <t>Paste desired flow pattern below:</t>
  </si>
  <si>
    <t>Concentration in nmol/ml:</t>
  </si>
  <si>
    <t xml:space="preserve">Drug name: </t>
  </si>
  <si>
    <t>Drug-specific parameters (insert from table):</t>
  </si>
  <si>
    <t xml:space="preserve">t-1/2 (min) </t>
  </si>
  <si>
    <t>G (decay factor)</t>
  </si>
  <si>
    <t xml:space="preserve">&lt;- Call this as Wtkg in formulas. </t>
  </si>
  <si>
    <t xml:space="preserve">&lt;- Call this as Tsamp in formulas. </t>
  </si>
  <si>
    <t>(mins)</t>
  </si>
  <si>
    <t>(hrs)</t>
  </si>
  <si>
    <t>Instantaneous Plasma Concentration at Time (t)</t>
  </si>
  <si>
    <t>(nmol/L)</t>
  </si>
  <si>
    <t xml:space="preserve">Normalized Plasma Concentration at Time (t) </t>
  </si>
  <si>
    <t>(nmol/l)</t>
  </si>
  <si>
    <t>Total Infusion Time</t>
  </si>
  <si>
    <t>Total infusion Time</t>
  </si>
  <si>
    <t>Table of Referenced Drug Parameters:</t>
  </si>
  <si>
    <t>Norepinephrine</t>
  </si>
  <si>
    <t>Nitroglycerin</t>
  </si>
  <si>
    <t>Vasopressin</t>
  </si>
  <si>
    <t xml:space="preserve">CL(L/h) [take CL in L/min/kg from parameter sheet, multiply Wtkg * 60] </t>
  </si>
  <si>
    <t>Vd(L) [multiply Vd (L/kg) by Wtkg]</t>
  </si>
  <si>
    <t xml:space="preserve">Reference values from table (Appendix 1, pasted right): </t>
  </si>
  <si>
    <t>Normalized Plasma Concentration at Time (t) as % of ss_max (100%)</t>
  </si>
  <si>
    <t>t-1/2 (min) = (ln(2)*60*Vd(L))/(CL(L/h))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</si>
</sst>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2"/>
      <color theme="1"/>
      <name val="Calibri (Body)"/>
    </font>
    <font>
      <b/>
      <u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E4D6"/>
        <bgColor rgb="FF000000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10" xfId="0" applyFill="1" applyBorder="1"/>
    <xf numFmtId="0" fontId="0" fillId="2" borderId="11" xfId="0" applyFill="1" applyBorder="1"/>
    <xf numFmtId="0" fontId="1" fillId="2" borderId="11" xfId="0" applyFont="1" applyFill="1" applyBorder="1"/>
    <xf numFmtId="0" fontId="2" fillId="2" borderId="9" xfId="0" applyFont="1" applyFill="1" applyBorder="1"/>
    <xf numFmtId="0" fontId="2" fillId="2" borderId="11" xfId="0" applyFont="1" applyFill="1" applyBorder="1"/>
    <xf numFmtId="0" fontId="2" fillId="2" borderId="6" xfId="0" applyFont="1" applyFill="1" applyBorder="1"/>
    <xf numFmtId="0" fontId="2" fillId="2" borderId="1" xfId="0" applyFont="1" applyFill="1" applyBorder="1"/>
    <xf numFmtId="0" fontId="2" fillId="0" borderId="0" xfId="0" applyFont="1"/>
    <xf numFmtId="0" fontId="3" fillId="2" borderId="14" xfId="0" applyFont="1" applyFill="1" applyBorder="1"/>
    <xf numFmtId="0" fontId="3" fillId="2" borderId="12" xfId="0" applyFont="1" applyFill="1" applyBorder="1"/>
    <xf numFmtId="0" fontId="3" fillId="2" borderId="9" xfId="0" applyFont="1" applyFill="1" applyBorder="1"/>
    <xf numFmtId="0" fontId="3" fillId="2" borderId="4" xfId="0" applyFont="1" applyFill="1" applyBorder="1"/>
    <xf numFmtId="0" fontId="3" fillId="2" borderId="7" xfId="0" applyFont="1" applyFill="1" applyBorder="1"/>
    <xf numFmtId="0" fontId="1" fillId="2" borderId="7" xfId="0" applyFont="1" applyFill="1" applyBorder="1"/>
    <xf numFmtId="0" fontId="1" fillId="2" borderId="2" xfId="0" applyFont="1" applyFill="1" applyBorder="1"/>
    <xf numFmtId="0" fontId="2" fillId="3" borderId="1" xfId="0" applyFont="1" applyFill="1" applyBorder="1"/>
    <xf numFmtId="0" fontId="4" fillId="3" borderId="4" xfId="0" applyFont="1" applyFill="1" applyBorder="1"/>
    <xf numFmtId="0" fontId="4" fillId="3" borderId="7" xfId="0" applyFont="1" applyFill="1" applyBorder="1"/>
    <xf numFmtId="0" fontId="4" fillId="3" borderId="9" xfId="0" applyFont="1" applyFill="1" applyBorder="1"/>
    <xf numFmtId="0" fontId="1" fillId="0" borderId="0" xfId="0" applyFont="1" applyAlignment="1">
      <alignment horizontal="center"/>
    </xf>
    <xf numFmtId="0" fontId="0" fillId="3" borderId="15" xfId="0" applyFill="1" applyBorder="1" applyAlignment="1">
      <alignment horizontal="right"/>
    </xf>
    <xf numFmtId="0" fontId="0" fillId="3" borderId="16" xfId="0" applyFill="1" applyBorder="1" applyAlignment="1">
      <alignment horizontal="right"/>
    </xf>
    <xf numFmtId="0" fontId="0" fillId="3" borderId="17" xfId="0" applyFill="1" applyBorder="1" applyAlignment="1">
      <alignment horizontal="right"/>
    </xf>
    <xf numFmtId="1" fontId="0" fillId="3" borderId="15" xfId="0" applyNumberFormat="1" applyFill="1" applyBorder="1" applyAlignment="1">
      <alignment horizontal="right"/>
    </xf>
    <xf numFmtId="0" fontId="0" fillId="3" borderId="21" xfId="0" applyFill="1" applyBorder="1" applyAlignment="1">
      <alignment horizontal="right"/>
    </xf>
    <xf numFmtId="1" fontId="0" fillId="3" borderId="22" xfId="0" applyNumberFormat="1" applyFill="1" applyBorder="1" applyAlignment="1">
      <alignment horizontal="right"/>
    </xf>
    <xf numFmtId="0" fontId="0" fillId="3" borderId="22" xfId="0" applyFill="1" applyBorder="1" applyAlignment="1">
      <alignment horizontal="right"/>
    </xf>
    <xf numFmtId="0" fontId="0" fillId="3" borderId="23" xfId="0" applyFill="1" applyBorder="1" applyAlignment="1">
      <alignment horizontal="right"/>
    </xf>
    <xf numFmtId="0" fontId="0" fillId="3" borderId="24" xfId="0" applyFill="1" applyBorder="1" applyAlignment="1">
      <alignment horizontal="right"/>
    </xf>
    <xf numFmtId="0" fontId="0" fillId="3" borderId="25" xfId="0" applyFill="1" applyBorder="1" applyAlignment="1">
      <alignment horizontal="right"/>
    </xf>
    <xf numFmtId="0" fontId="1" fillId="4" borderId="0" xfId="0" applyFont="1" applyFill="1"/>
    <xf numFmtId="0" fontId="0" fillId="4" borderId="0" xfId="0" applyFill="1"/>
    <xf numFmtId="0" fontId="5" fillId="5" borderId="8" xfId="0" applyFont="1" applyFill="1" applyBorder="1"/>
    <xf numFmtId="0" fontId="1" fillId="3" borderId="13" xfId="0" applyFont="1" applyFill="1" applyBorder="1" applyAlignment="1">
      <alignment horizontal="right"/>
    </xf>
    <xf numFmtId="0" fontId="1" fillId="3" borderId="18" xfId="0" applyFont="1" applyFill="1" applyBorder="1" applyAlignment="1">
      <alignment horizontal="right"/>
    </xf>
    <xf numFmtId="0" fontId="1" fillId="3" borderId="19" xfId="0" applyFont="1" applyFill="1" applyBorder="1" applyAlignment="1">
      <alignment horizontal="right"/>
    </xf>
    <xf numFmtId="0" fontId="1" fillId="3" borderId="20" xfId="0" applyFont="1" applyFill="1" applyBorder="1" applyAlignment="1">
      <alignment horizontal="right"/>
    </xf>
    <xf numFmtId="0" fontId="1" fillId="2" borderId="8" xfId="0" applyFont="1" applyFill="1" applyBorder="1"/>
    <xf numFmtId="0" fontId="1" fillId="4" borderId="8" xfId="0" applyFont="1" applyFill="1" applyBorder="1"/>
    <xf numFmtId="0" fontId="0" fillId="2" borderId="1" xfId="0" applyFill="1" applyBorder="1"/>
    <xf numFmtId="0" fontId="1" fillId="2" borderId="3" xfId="0" applyFont="1" applyFill="1" applyBorder="1"/>
    <xf numFmtId="0" fontId="0" fillId="2" borderId="2" xfId="0" applyFill="1" applyBorder="1"/>
    <xf numFmtId="0" fontId="1" fillId="2" borderId="26" xfId="0" applyFont="1" applyFill="1" applyBorder="1"/>
    <xf numFmtId="0" fontId="0" fillId="2" borderId="27" xfId="0" applyFill="1" applyBorder="1"/>
    <xf numFmtId="0" fontId="0" fillId="2" borderId="29" xfId="0" applyFill="1" applyBorder="1"/>
    <xf numFmtId="0" fontId="0" fillId="2" borderId="30" xfId="0" applyFill="1" applyBorder="1"/>
    <xf numFmtId="0" fontId="1" fillId="2" borderId="28" xfId="0" applyFont="1" applyFill="1" applyBorder="1"/>
    <xf numFmtId="0" fontId="0" fillId="2" borderId="18" xfId="0" applyFill="1" applyBorder="1" applyAlignment="1">
      <alignment horizontal="right"/>
    </xf>
    <xf numFmtId="0" fontId="0" fillId="2" borderId="2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64523</xdr:colOff>
      <xdr:row>3</xdr:row>
      <xdr:rowOff>41165</xdr:rowOff>
    </xdr:from>
    <xdr:to>
      <xdr:col>10</xdr:col>
      <xdr:colOff>233857</xdr:colOff>
      <xdr:row>6</xdr:row>
      <xdr:rowOff>159700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6225E31C-9D72-6B46-9E63-F2235CFF2469}"/>
            </a:ext>
          </a:extLst>
        </xdr:cNvPr>
        <xdr:cNvSpPr/>
      </xdr:nvSpPr>
      <xdr:spPr>
        <a:xfrm>
          <a:off x="17709056" y="684632"/>
          <a:ext cx="3098801" cy="711201"/>
        </a:xfrm>
        <a:prstGeom prst="rightArrow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12</xdr:col>
      <xdr:colOff>677333</xdr:colOff>
      <xdr:row>7</xdr:row>
      <xdr:rowOff>203200</xdr:rowOff>
    </xdr:from>
    <xdr:to>
      <xdr:col>19</xdr:col>
      <xdr:colOff>812799</xdr:colOff>
      <xdr:row>21</xdr:row>
      <xdr:rowOff>10153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8908F7-F7EC-64AA-44F4-1B18E5D0F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53066" y="1659467"/>
          <a:ext cx="7772400" cy="2685619"/>
        </a:xfrm>
        <a:prstGeom prst="rect">
          <a:avLst/>
        </a:prstGeom>
      </xdr:spPr>
    </xdr:pic>
    <xdr:clientData/>
  </xdr:twoCellAnchor>
  <xdr:twoCellAnchor editAs="oneCell">
    <xdr:from>
      <xdr:col>16</xdr:col>
      <xdr:colOff>626532</xdr:colOff>
      <xdr:row>2</xdr:row>
      <xdr:rowOff>101599</xdr:rowOff>
    </xdr:from>
    <xdr:to>
      <xdr:col>19</xdr:col>
      <xdr:colOff>59265</xdr:colOff>
      <xdr:row>6</xdr:row>
      <xdr:rowOff>33866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E4E19C9-58BA-C009-3E39-99B90DAF5E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6850" b="11796"/>
        <a:stretch/>
      </xdr:blipFill>
      <xdr:spPr>
        <a:xfrm>
          <a:off x="31749999" y="541866"/>
          <a:ext cx="1921933" cy="728133"/>
        </a:xfrm>
        <a:prstGeom prst="rect">
          <a:avLst/>
        </a:prstGeom>
      </xdr:spPr>
    </xdr:pic>
    <xdr:clientData/>
  </xdr:twoCellAnchor>
  <xdr:twoCellAnchor editAs="oneCell">
    <xdr:from>
      <xdr:col>11</xdr:col>
      <xdr:colOff>321734</xdr:colOff>
      <xdr:row>14</xdr:row>
      <xdr:rowOff>50801</xdr:rowOff>
    </xdr:from>
    <xdr:to>
      <xdr:col>11</xdr:col>
      <xdr:colOff>3103034</xdr:colOff>
      <xdr:row>24</xdr:row>
      <xdr:rowOff>114301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5E15431-31CF-5B00-DD76-20274E5C64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5444"/>
        <a:stretch/>
      </xdr:blipFill>
      <xdr:spPr>
        <a:xfrm>
          <a:off x="21725467" y="2963334"/>
          <a:ext cx="2781300" cy="2095500"/>
        </a:xfrm>
        <a:prstGeom prst="rect">
          <a:avLst/>
        </a:prstGeom>
      </xdr:spPr>
    </xdr:pic>
    <xdr:clientData/>
  </xdr:twoCellAnchor>
  <xdr:twoCellAnchor>
    <xdr:from>
      <xdr:col>1</xdr:col>
      <xdr:colOff>1264227</xdr:colOff>
      <xdr:row>7</xdr:row>
      <xdr:rowOff>51955</xdr:rowOff>
    </xdr:from>
    <xdr:to>
      <xdr:col>1</xdr:col>
      <xdr:colOff>1264227</xdr:colOff>
      <xdr:row>7</xdr:row>
      <xdr:rowOff>190500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BB95FE04-83B4-65A1-42C5-05BEF47D5D46}"/>
            </a:ext>
          </a:extLst>
        </xdr:cNvPr>
        <xdr:cNvCxnSpPr/>
      </xdr:nvCxnSpPr>
      <xdr:spPr>
        <a:xfrm>
          <a:off x="3284682" y="1489364"/>
          <a:ext cx="0" cy="1385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B620F-3A74-B24E-8BD3-BAFD22A2EA3B}">
  <dimension ref="A1:P767"/>
  <sheetViews>
    <sheetView tabSelected="1" zoomScale="84" workbookViewId="0">
      <selection activeCell="U7" sqref="U7"/>
    </sheetView>
  </sheetViews>
  <sheetFormatPr baseColWidth="10" defaultRowHeight="16" x14ac:dyDescent="0.2"/>
  <cols>
    <col min="1" max="1" width="26.5" customWidth="1"/>
    <col min="2" max="2" width="25.83203125" customWidth="1"/>
    <col min="3" max="3" width="11" customWidth="1"/>
    <col min="4" max="4" width="36.33203125" customWidth="1"/>
    <col min="5" max="5" width="17.6640625" customWidth="1"/>
    <col min="6" max="6" width="27" customWidth="1"/>
    <col min="7" max="7" width="42.5" customWidth="1"/>
    <col min="8" max="8" width="0" hidden="1" customWidth="1"/>
    <col min="9" max="9" width="44.33203125" customWidth="1"/>
    <col min="10" max="10" width="38.5" customWidth="1"/>
    <col min="12" max="12" width="60" customWidth="1"/>
    <col min="13" max="13" width="20.33203125" customWidth="1"/>
    <col min="14" max="14" width="18" customWidth="1"/>
    <col min="15" max="15" width="18.1640625" customWidth="1"/>
  </cols>
  <sheetData>
    <row r="1" spans="1:16" ht="17" thickBot="1" x14ac:dyDescent="0.25">
      <c r="B1" s="3"/>
      <c r="C1" s="13" t="s">
        <v>0</v>
      </c>
      <c r="D1" s="15"/>
      <c r="F1" s="19" t="s">
        <v>14</v>
      </c>
      <c r="G1" s="5"/>
      <c r="L1" s="23" t="s">
        <v>27</v>
      </c>
    </row>
    <row r="2" spans="1:16" ht="17" thickBot="1" x14ac:dyDescent="0.25">
      <c r="B2" s="18" t="s">
        <v>10</v>
      </c>
      <c r="C2" s="9">
        <f>1/360</f>
        <v>2.7777777777777779E-3</v>
      </c>
      <c r="D2" s="1" t="s">
        <v>18</v>
      </c>
      <c r="F2" s="20" t="s">
        <v>13</v>
      </c>
      <c r="G2" s="55" t="s">
        <v>28</v>
      </c>
      <c r="L2" s="24" t="s">
        <v>13</v>
      </c>
      <c r="M2" s="41" t="s">
        <v>2</v>
      </c>
      <c r="N2" s="42" t="s">
        <v>29</v>
      </c>
      <c r="O2" s="43" t="s">
        <v>28</v>
      </c>
      <c r="P2" s="44" t="s">
        <v>30</v>
      </c>
    </row>
    <row r="3" spans="1:16" x14ac:dyDescent="0.2">
      <c r="F3" s="20" t="s">
        <v>12</v>
      </c>
      <c r="G3" s="56">
        <v>189</v>
      </c>
      <c r="J3" s="27" t="s">
        <v>33</v>
      </c>
      <c r="L3" s="25" t="s">
        <v>12</v>
      </c>
      <c r="M3" s="29">
        <v>1096.4912280701801</v>
      </c>
      <c r="N3" s="32">
        <v>4404000</v>
      </c>
      <c r="O3" s="31">
        <v>189</v>
      </c>
      <c r="P3" s="33">
        <v>1.75</v>
      </c>
    </row>
    <row r="4" spans="1:16" x14ac:dyDescent="0.2">
      <c r="F4" s="20" t="s">
        <v>5</v>
      </c>
      <c r="G4" s="56">
        <v>0.12</v>
      </c>
      <c r="L4" s="25" t="s">
        <v>5</v>
      </c>
      <c r="M4" s="29">
        <v>0.2</v>
      </c>
      <c r="N4" s="32">
        <v>3.3</v>
      </c>
      <c r="O4" s="28">
        <v>0.12</v>
      </c>
      <c r="P4" s="34">
        <v>0.2</v>
      </c>
    </row>
    <row r="5" spans="1:16" ht="15" customHeight="1" thickBot="1" x14ac:dyDescent="0.25">
      <c r="F5" s="20" t="s">
        <v>6</v>
      </c>
      <c r="G5" s="56">
        <f>G4*Wtkg</f>
        <v>8.76</v>
      </c>
      <c r="L5" s="25" t="s">
        <v>32</v>
      </c>
      <c r="M5" s="29">
        <f>M4*Wtkg</f>
        <v>14.600000000000001</v>
      </c>
      <c r="N5" s="32">
        <f>N4*Wtkg</f>
        <v>240.89999999999998</v>
      </c>
      <c r="O5" s="28">
        <f>O4*Wtkg</f>
        <v>8.76</v>
      </c>
      <c r="P5" s="34">
        <f>P4*Wtkg</f>
        <v>14.600000000000001</v>
      </c>
    </row>
    <row r="6" spans="1:16" x14ac:dyDescent="0.2">
      <c r="A6" s="17" t="s">
        <v>8</v>
      </c>
      <c r="F6" s="20" t="s">
        <v>7</v>
      </c>
      <c r="G6" s="40">
        <f>0.02079908675*Wtkg*60</f>
        <v>91.099999965000009</v>
      </c>
      <c r="L6" s="25" t="s">
        <v>31</v>
      </c>
      <c r="M6" s="29">
        <f>0.125*Wtkg*60</f>
        <v>547.5</v>
      </c>
      <c r="N6" s="32">
        <f>1*Wtkg*60</f>
        <v>4380</v>
      </c>
      <c r="O6" s="28">
        <f>0.0192*Wtkg*60</f>
        <v>84.096000000000004</v>
      </c>
      <c r="P6" s="34">
        <f>0.01*Wtkg*60</f>
        <v>43.8</v>
      </c>
    </row>
    <row r="7" spans="1:16" ht="17" thickBot="1" x14ac:dyDescent="0.25">
      <c r="A7" s="2">
        <f xml:space="preserve"> 73</f>
        <v>73</v>
      </c>
      <c r="B7" s="1" t="s">
        <v>17</v>
      </c>
      <c r="F7" s="20" t="s">
        <v>15</v>
      </c>
      <c r="G7" s="40">
        <f>60*LN(2)*G5/G6</f>
        <v>3.9991016272478128</v>
      </c>
      <c r="L7" s="26" t="s">
        <v>35</v>
      </c>
      <c r="M7" s="30">
        <f>(LN(2)*60*M5)/M6</f>
        <v>1.1090354888959126</v>
      </c>
      <c r="N7" s="35">
        <f>(LN(2)*60*N5)/N6</f>
        <v>2.2873856958478189</v>
      </c>
      <c r="O7" s="36">
        <f>(LN(2)*60*O5)/O6</f>
        <v>4.3321698784996574</v>
      </c>
      <c r="P7" s="37">
        <f>(LN(2)*60*P5)/P6</f>
        <v>13.862943611198908</v>
      </c>
    </row>
    <row r="8" spans="1:16" ht="17" thickBot="1" x14ac:dyDescent="0.25">
      <c r="A8" s="54" t="s">
        <v>9</v>
      </c>
      <c r="B8" s="52"/>
      <c r="C8" s="53"/>
      <c r="D8" s="16" t="s">
        <v>11</v>
      </c>
      <c r="F8" s="21" t="s">
        <v>16</v>
      </c>
      <c r="G8" s="40">
        <f>EXP(-Tsamp*LN(2)/(G7/60))</f>
        <v>0.97152563791097968</v>
      </c>
    </row>
    <row r="9" spans="1:16" x14ac:dyDescent="0.2">
      <c r="A9" s="6"/>
      <c r="B9" s="51"/>
      <c r="C9" s="7"/>
      <c r="D9" s="7"/>
      <c r="E9" s="14" t="s">
        <v>26</v>
      </c>
      <c r="F9" s="14" t="s">
        <v>25</v>
      </c>
      <c r="G9" s="14" t="s">
        <v>21</v>
      </c>
      <c r="H9" s="4"/>
      <c r="I9" s="4"/>
      <c r="J9" s="13" t="s">
        <v>23</v>
      </c>
      <c r="L9" s="14" t="s">
        <v>34</v>
      </c>
    </row>
    <row r="10" spans="1:16" ht="17" thickBot="1" x14ac:dyDescent="0.25">
      <c r="A10" s="11" t="s">
        <v>1</v>
      </c>
      <c r="B10" s="50" t="s">
        <v>3</v>
      </c>
      <c r="C10" s="10" t="s">
        <v>4</v>
      </c>
      <c r="D10" s="12" t="s">
        <v>3</v>
      </c>
      <c r="E10" s="22" t="s">
        <v>19</v>
      </c>
      <c r="F10" s="22" t="s">
        <v>20</v>
      </c>
      <c r="G10" s="22" t="s">
        <v>22</v>
      </c>
      <c r="H10" s="8"/>
      <c r="I10" s="8"/>
      <c r="J10" s="10" t="s">
        <v>24</v>
      </c>
      <c r="L10" s="22"/>
    </row>
    <row r="11" spans="1:16" x14ac:dyDescent="0.2">
      <c r="A11" s="47">
        <v>0.5</v>
      </c>
      <c r="B11" s="47">
        <v>0.5</v>
      </c>
      <c r="C11" s="47">
        <v>0.5</v>
      </c>
      <c r="D11" s="5">
        <v>0.5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L11">
        <f>$J11/100</f>
        <v>0</v>
      </c>
    </row>
    <row r="12" spans="1:16" x14ac:dyDescent="0.2">
      <c r="A12" s="2">
        <v>0.5</v>
      </c>
      <c r="B12" s="2">
        <v>0.5</v>
      </c>
      <c r="C12" s="2">
        <v>0.5</v>
      </c>
      <c r="D12" s="7">
        <v>0.5</v>
      </c>
      <c r="E12">
        <f t="shared" ref="E12:E75" si="0">F12*60</f>
        <v>0.16666666666666669</v>
      </c>
      <c r="F12">
        <f t="shared" ref="F12:F75" si="1">Tsamp+F11</f>
        <v>2.7777777777777779E-3</v>
      </c>
      <c r="G12">
        <f>Tsamp*$D12*G$3/G$5+G$8*G11</f>
        <v>2.9965753424657536E-2</v>
      </c>
      <c r="H12">
        <f t="shared" ref="H12:H75" si="2">$D12*$G$3/$G$6</f>
        <v>1.0373216249868962</v>
      </c>
      <c r="I12">
        <f t="shared" ref="I12:I75" si="3">Tsamp*32*$G$3/($G$5*(1-$G$8))</f>
        <v>67.352104787541023</v>
      </c>
      <c r="J12">
        <f>$G12/$I12*100</f>
        <v>4.4491190764094253E-2</v>
      </c>
      <c r="L12">
        <f t="shared" ref="L12:L75" si="4">$J12/100</f>
        <v>4.4491190764094253E-4</v>
      </c>
    </row>
    <row r="13" spans="1:16" x14ac:dyDescent="0.2">
      <c r="A13" s="2">
        <v>0.5</v>
      </c>
      <c r="B13" s="2">
        <v>0.5</v>
      </c>
      <c r="C13" s="2">
        <v>0.5</v>
      </c>
      <c r="D13" s="7">
        <v>0.5</v>
      </c>
      <c r="E13">
        <f t="shared" si="0"/>
        <v>0.33333333333333337</v>
      </c>
      <c r="F13">
        <f>Tsamp+F12</f>
        <v>5.5555555555555558E-3</v>
      </c>
      <c r="G13">
        <f t="shared" ref="G13:G75" si="5">Tsamp*$D13*G$3/G$5+G$8*G12</f>
        <v>5.9078251136031074E-2</v>
      </c>
      <c r="H13">
        <f t="shared" si="2"/>
        <v>1.0373216249868962</v>
      </c>
      <c r="I13">
        <f t="shared" si="3"/>
        <v>67.352104787541023</v>
      </c>
      <c r="J13">
        <f t="shared" ref="J13:J76" si="6">$G13/$I13*100</f>
        <v>8.7715523252600014E-2</v>
      </c>
      <c r="L13">
        <f t="shared" si="4"/>
        <v>8.771552325260001E-4</v>
      </c>
    </row>
    <row r="14" spans="1:16" x14ac:dyDescent="0.2">
      <c r="A14" s="2">
        <v>0.5</v>
      </c>
      <c r="B14" s="2">
        <v>0.5</v>
      </c>
      <c r="C14" s="2">
        <v>0.5</v>
      </c>
      <c r="D14" s="7">
        <v>0.5</v>
      </c>
      <c r="E14">
        <f t="shared" si="0"/>
        <v>0.5</v>
      </c>
      <c r="F14">
        <f t="shared" si="1"/>
        <v>8.3333333333333332E-3</v>
      </c>
      <c r="G14">
        <f t="shared" si="5"/>
        <v>8.7361789046255189E-2</v>
      </c>
      <c r="H14">
        <f t="shared" si="2"/>
        <v>1.0373216249868962</v>
      </c>
      <c r="I14">
        <f t="shared" si="3"/>
        <v>67.352104787541023</v>
      </c>
      <c r="J14">
        <f t="shared" si="6"/>
        <v>0.12970907044677185</v>
      </c>
      <c r="L14">
        <f t="shared" si="4"/>
        <v>1.2970907044677184E-3</v>
      </c>
    </row>
    <row r="15" spans="1:16" x14ac:dyDescent="0.2">
      <c r="A15" s="2">
        <v>0.5</v>
      </c>
      <c r="B15" s="2">
        <v>0.5</v>
      </c>
      <c r="C15" s="2">
        <v>0.5</v>
      </c>
      <c r="D15" s="7">
        <v>0.5</v>
      </c>
      <c r="E15">
        <f t="shared" si="0"/>
        <v>0.66666666666666674</v>
      </c>
      <c r="F15">
        <f t="shared" si="1"/>
        <v>1.1111111111111112E-2</v>
      </c>
      <c r="G15">
        <f t="shared" si="5"/>
        <v>0.11483997125686504</v>
      </c>
      <c r="H15">
        <f t="shared" si="2"/>
        <v>1.0373216249868962</v>
      </c>
      <c r="I15">
        <f t="shared" si="3"/>
        <v>67.352104787541023</v>
      </c>
      <c r="J15">
        <f t="shared" si="6"/>
        <v>0.17050687817273449</v>
      </c>
      <c r="L15">
        <f t="shared" si="4"/>
        <v>1.7050687817273449E-3</v>
      </c>
    </row>
    <row r="16" spans="1:16" x14ac:dyDescent="0.2">
      <c r="A16" s="2">
        <v>0.5</v>
      </c>
      <c r="B16" s="2">
        <v>0.5</v>
      </c>
      <c r="C16" s="2">
        <v>0.5</v>
      </c>
      <c r="D16" s="7">
        <v>0.5</v>
      </c>
      <c r="E16">
        <f t="shared" si="0"/>
        <v>0.83333333333333337</v>
      </c>
      <c r="F16">
        <f t="shared" si="1"/>
        <v>1.388888888888889E-2</v>
      </c>
      <c r="G16">
        <f>Tsamp*$D16*G$3/G$5+G$8*G15</f>
        <v>0.1415357297576619</v>
      </c>
      <c r="H16">
        <f t="shared" si="2"/>
        <v>1.0373216249868962</v>
      </c>
      <c r="I16">
        <f t="shared" si="3"/>
        <v>67.352104787541023</v>
      </c>
      <c r="J16">
        <f t="shared" si="6"/>
        <v>0.2101429943490698</v>
      </c>
      <c r="L16">
        <f t="shared" si="4"/>
        <v>2.101429943490698E-3</v>
      </c>
    </row>
    <row r="17" spans="1:12" x14ac:dyDescent="0.2">
      <c r="A17" s="2">
        <v>0.5</v>
      </c>
      <c r="B17" s="2">
        <v>0.5</v>
      </c>
      <c r="C17" s="2">
        <v>0.5</v>
      </c>
      <c r="D17" s="7">
        <v>0.5</v>
      </c>
      <c r="E17">
        <f t="shared" si="0"/>
        <v>1</v>
      </c>
      <c r="F17">
        <f t="shared" si="1"/>
        <v>1.6666666666666666E-2</v>
      </c>
      <c r="G17">
        <f t="shared" si="5"/>
        <v>0.16747134356466606</v>
      </c>
      <c r="H17">
        <f t="shared" si="2"/>
        <v>1.0373216249868962</v>
      </c>
      <c r="I17">
        <f t="shared" si="3"/>
        <v>67.352104787541023</v>
      </c>
      <c r="J17">
        <f t="shared" si="6"/>
        <v>0.24865049740159773</v>
      </c>
      <c r="L17">
        <f t="shared" si="4"/>
        <v>2.4865049740159773E-3</v>
      </c>
    </row>
    <row r="18" spans="1:12" x14ac:dyDescent="0.2">
      <c r="A18" s="2">
        <v>0.5</v>
      </c>
      <c r="B18" s="2">
        <v>0.5</v>
      </c>
      <c r="C18" s="2">
        <v>0.5</v>
      </c>
      <c r="D18" s="7">
        <v>0.5</v>
      </c>
      <c r="E18">
        <f t="shared" si="0"/>
        <v>1.1666666666666667</v>
      </c>
      <c r="F18">
        <f t="shared" si="1"/>
        <v>1.9444444444444445E-2</v>
      </c>
      <c r="G18">
        <f t="shared" si="5"/>
        <v>0.19266845731312857</v>
      </c>
      <c r="H18">
        <f t="shared" si="2"/>
        <v>1.0373216249868962</v>
      </c>
      <c r="I18">
        <f t="shared" si="3"/>
        <v>67.352104787541023</v>
      </c>
      <c r="J18">
        <f t="shared" si="6"/>
        <v>0.28606152386906386</v>
      </c>
      <c r="L18">
        <f t="shared" si="4"/>
        <v>2.8606152386906388E-3</v>
      </c>
    </row>
    <row r="19" spans="1:12" x14ac:dyDescent="0.2">
      <c r="A19" s="2">
        <v>0.5</v>
      </c>
      <c r="B19" s="2">
        <v>0.5</v>
      </c>
      <c r="C19" s="2">
        <v>0.5</v>
      </c>
      <c r="D19" s="7">
        <v>0.5</v>
      </c>
      <c r="E19">
        <f t="shared" si="0"/>
        <v>1.3333333333333335</v>
      </c>
      <c r="F19">
        <f t="shared" si="1"/>
        <v>2.2222222222222223E-2</v>
      </c>
      <c r="G19">
        <f t="shared" si="5"/>
        <v>0.21714809932111914</v>
      </c>
      <c r="H19">
        <f t="shared" si="2"/>
        <v>1.0373216249868962</v>
      </c>
      <c r="I19">
        <f t="shared" si="3"/>
        <v>67.352104787541023</v>
      </c>
      <c r="J19">
        <f t="shared" si="6"/>
        <v>0.32240729522277345</v>
      </c>
      <c r="L19">
        <f t="shared" si="4"/>
        <v>3.2240729522277343E-3</v>
      </c>
    </row>
    <row r="20" spans="1:12" x14ac:dyDescent="0.2">
      <c r="A20" s="2">
        <v>0.5</v>
      </c>
      <c r="B20" s="2">
        <v>0.5</v>
      </c>
      <c r="C20" s="2">
        <v>0.5</v>
      </c>
      <c r="D20" s="7">
        <v>0.5</v>
      </c>
      <c r="E20">
        <f t="shared" si="0"/>
        <v>1.5</v>
      </c>
      <c r="F20">
        <f t="shared" si="1"/>
        <v>2.5000000000000001E-2</v>
      </c>
      <c r="G20">
        <f t="shared" si="5"/>
        <v>0.24093069913876458</v>
      </c>
      <c r="H20">
        <f t="shared" si="2"/>
        <v>1.0373216249868962</v>
      </c>
      <c r="I20">
        <f t="shared" si="3"/>
        <v>67.352104787541023</v>
      </c>
      <c r="J20">
        <f t="shared" si="6"/>
        <v>0.3577181439225528</v>
      </c>
      <c r="L20">
        <f t="shared" si="4"/>
        <v>3.5771814392255279E-3</v>
      </c>
    </row>
    <row r="21" spans="1:12" x14ac:dyDescent="0.2">
      <c r="A21" s="2">
        <v>0.5</v>
      </c>
      <c r="B21" s="2">
        <v>0.5</v>
      </c>
      <c r="C21" s="2">
        <v>0.5</v>
      </c>
      <c r="D21" s="7">
        <v>0.5</v>
      </c>
      <c r="E21">
        <f t="shared" si="0"/>
        <v>1.6666666666666667</v>
      </c>
      <c r="F21">
        <f t="shared" si="1"/>
        <v>2.777777777777778E-2</v>
      </c>
      <c r="G21">
        <f t="shared" si="5"/>
        <v>0.26403610459778409</v>
      </c>
      <c r="H21">
        <f t="shared" si="2"/>
        <v>1.0373216249868962</v>
      </c>
      <c r="I21">
        <f t="shared" si="3"/>
        <v>67.352104787541023</v>
      </c>
      <c r="J21">
        <f t="shared" si="6"/>
        <v>0.39202353873078399</v>
      </c>
      <c r="L21">
        <f t="shared" si="4"/>
        <v>3.9202353873078397E-3</v>
      </c>
    </row>
    <row r="22" spans="1:12" x14ac:dyDescent="0.2">
      <c r="A22" s="2">
        <v>0.5</v>
      </c>
      <c r="B22" s="2">
        <v>0.5</v>
      </c>
      <c r="C22" s="2">
        <v>0.5</v>
      </c>
      <c r="D22" s="7">
        <v>0.5</v>
      </c>
      <c r="E22">
        <f t="shared" si="0"/>
        <v>1.8333333333333335</v>
      </c>
      <c r="F22">
        <f t="shared" si="1"/>
        <v>3.0555555555555558E-2</v>
      </c>
      <c r="G22">
        <f t="shared" si="5"/>
        <v>0.28648359837554987</v>
      </c>
      <c r="H22">
        <f t="shared" si="2"/>
        <v>1.0373216249868962</v>
      </c>
      <c r="I22">
        <f t="shared" si="3"/>
        <v>67.352104787541023</v>
      </c>
      <c r="J22">
        <f t="shared" si="6"/>
        <v>0.42535210930563877</v>
      </c>
      <c r="L22">
        <f t="shared" si="4"/>
        <v>4.2535210930563878E-3</v>
      </c>
    </row>
    <row r="23" spans="1:12" x14ac:dyDescent="0.2">
      <c r="A23" s="2">
        <v>0.5</v>
      </c>
      <c r="B23" s="2">
        <v>0.5</v>
      </c>
      <c r="C23" s="2">
        <v>0.5</v>
      </c>
      <c r="D23" s="7">
        <v>0.5</v>
      </c>
      <c r="E23">
        <f t="shared" si="0"/>
        <v>2</v>
      </c>
      <c r="F23">
        <f t="shared" si="1"/>
        <v>3.3333333333333333E-2</v>
      </c>
      <c r="G23">
        <f t="shared" si="5"/>
        <v>0.30829191408749651</v>
      </c>
      <c r="H23">
        <f t="shared" si="2"/>
        <v>1.0373216249868962</v>
      </c>
      <c r="I23">
        <f t="shared" si="3"/>
        <v>67.352104787541023</v>
      </c>
      <c r="J23">
        <f t="shared" si="6"/>
        <v>0.45773167009403576</v>
      </c>
      <c r="L23">
        <f t="shared" si="4"/>
        <v>4.5773167009403575E-3</v>
      </c>
    </row>
    <row r="24" spans="1:12" x14ac:dyDescent="0.2">
      <c r="A24" s="2">
        <v>0.5</v>
      </c>
      <c r="B24" s="2">
        <v>0.5</v>
      </c>
      <c r="C24" s="2">
        <v>0.5</v>
      </c>
      <c r="D24" s="7">
        <v>0.5</v>
      </c>
      <c r="E24">
        <f t="shared" si="0"/>
        <v>2.1666666666666665</v>
      </c>
      <c r="F24">
        <f t="shared" si="1"/>
        <v>3.6111111111111108E-2</v>
      </c>
      <c r="G24">
        <f t="shared" si="5"/>
        <v>0.3294792519213095</v>
      </c>
      <c r="H24">
        <f t="shared" si="2"/>
        <v>1.0373216249868962</v>
      </c>
      <c r="I24">
        <f t="shared" si="3"/>
        <v>67.352104787541023</v>
      </c>
      <c r="J24">
        <f t="shared" si="6"/>
        <v>0.48918924354426041</v>
      </c>
      <c r="L24">
        <f t="shared" si="4"/>
        <v>4.891892435442604E-3</v>
      </c>
    </row>
    <row r="25" spans="1:12" x14ac:dyDescent="0.2">
      <c r="A25" s="2">
        <v>0.5</v>
      </c>
      <c r="B25" s="2">
        <v>0.5</v>
      </c>
      <c r="C25" s="2">
        <v>0.5</v>
      </c>
      <c r="D25" s="7">
        <v>0.5</v>
      </c>
      <c r="E25">
        <f t="shared" si="0"/>
        <v>2.333333333333333</v>
      </c>
      <c r="F25">
        <f t="shared" si="1"/>
        <v>3.8888888888888883E-2</v>
      </c>
      <c r="G25">
        <f t="shared" si="5"/>
        <v>0.35006329382594009</v>
      </c>
      <c r="H25">
        <f t="shared" si="2"/>
        <v>1.0373216249868962</v>
      </c>
      <c r="I25">
        <f t="shared" si="3"/>
        <v>67.352104787541023</v>
      </c>
      <c r="J25">
        <f t="shared" si="6"/>
        <v>0.51975108265762138</v>
      </c>
      <c r="L25">
        <f t="shared" si="4"/>
        <v>5.1975108265762135E-3</v>
      </c>
    </row>
    <row r="26" spans="1:12" x14ac:dyDescent="0.2">
      <c r="A26" s="2">
        <v>0.5</v>
      </c>
      <c r="B26" s="2">
        <v>0.5</v>
      </c>
      <c r="C26" s="2">
        <v>0.5</v>
      </c>
      <c r="D26" s="7">
        <v>0.5</v>
      </c>
      <c r="E26">
        <f t="shared" si="0"/>
        <v>2.4999999999999996</v>
      </c>
      <c r="F26">
        <f t="shared" si="1"/>
        <v>4.1666666666666657E-2</v>
      </c>
      <c r="G26">
        <f t="shared" si="5"/>
        <v>0.37006121826812266</v>
      </c>
      <c r="H26">
        <f t="shared" si="2"/>
        <v>1.0373216249868962</v>
      </c>
      <c r="I26">
        <f t="shared" si="3"/>
        <v>67.352104787541023</v>
      </c>
      <c r="J26">
        <f t="shared" si="6"/>
        <v>0.5494426928979621</v>
      </c>
      <c r="L26">
        <f t="shared" si="4"/>
        <v>5.4944269289796208E-3</v>
      </c>
    </row>
    <row r="27" spans="1:12" x14ac:dyDescent="0.2">
      <c r="A27" s="2">
        <v>0.5</v>
      </c>
      <c r="B27" s="2">
        <v>0.5</v>
      </c>
      <c r="C27" s="2">
        <v>0.5</v>
      </c>
      <c r="D27" s="7">
        <v>0.5</v>
      </c>
      <c r="E27">
        <f t="shared" si="0"/>
        <v>2.6666666666666661</v>
      </c>
      <c r="F27">
        <f t="shared" si="1"/>
        <v>4.4444444444444432E-2</v>
      </c>
      <c r="G27">
        <f t="shared" si="5"/>
        <v>0.38948971456870968</v>
      </c>
      <c r="H27">
        <f t="shared" si="2"/>
        <v>1.0373216249868962</v>
      </c>
      <c r="I27">
        <f t="shared" si="3"/>
        <v>67.352104787541023</v>
      </c>
      <c r="J27">
        <f t="shared" si="6"/>
        <v>0.5782888534773134</v>
      </c>
      <c r="L27">
        <f t="shared" si="4"/>
        <v>5.7828885347731337E-3</v>
      </c>
    </row>
    <row r="28" spans="1:12" x14ac:dyDescent="0.2">
      <c r="A28" s="2">
        <v>0.5</v>
      </c>
      <c r="B28" s="2">
        <v>0.5</v>
      </c>
      <c r="C28" s="2">
        <v>0.5</v>
      </c>
      <c r="D28" s="7">
        <v>0.5</v>
      </c>
      <c r="E28">
        <f t="shared" si="0"/>
        <v>2.8333333333333326</v>
      </c>
      <c r="F28">
        <f t="shared" si="1"/>
        <v>4.7222222222222207E-2</v>
      </c>
      <c r="G28">
        <f t="shared" si="5"/>
        <v>0.40836499683078858</v>
      </c>
      <c r="H28">
        <f t="shared" si="2"/>
        <v>1.0373216249868962</v>
      </c>
      <c r="I28">
        <f t="shared" si="3"/>
        <v>67.352104787541023</v>
      </c>
      <c r="J28">
        <f t="shared" si="6"/>
        <v>0.60631363803545013</v>
      </c>
      <c r="L28">
        <f t="shared" si="4"/>
        <v>6.0631363803545016E-3</v>
      </c>
    </row>
    <row r="29" spans="1:12" x14ac:dyDescent="0.2">
      <c r="A29" s="2">
        <v>0.5</v>
      </c>
      <c r="B29" s="2">
        <v>0.5</v>
      </c>
      <c r="C29" s="2">
        <v>0.5</v>
      </c>
      <c r="D29" s="7">
        <v>0.5</v>
      </c>
      <c r="E29">
        <f t="shared" si="0"/>
        <v>2.9999999999999991</v>
      </c>
      <c r="F29">
        <f t="shared" si="1"/>
        <v>4.9999999999999982E-2</v>
      </c>
      <c r="G29">
        <f t="shared" si="5"/>
        <v>0.42670281747120459</v>
      </c>
      <c r="H29">
        <f t="shared" si="2"/>
        <v>1.0373216249868962</v>
      </c>
      <c r="I29">
        <f t="shared" si="3"/>
        <v>67.352104787541023</v>
      </c>
      <c r="J29">
        <f t="shared" si="6"/>
        <v>0.63354043473061183</v>
      </c>
      <c r="L29">
        <f t="shared" si="4"/>
        <v>6.3354043473061181E-3</v>
      </c>
    </row>
    <row r="30" spans="1:12" x14ac:dyDescent="0.2">
      <c r="A30" s="2">
        <v>0.5</v>
      </c>
      <c r="B30" s="2">
        <v>0.5</v>
      </c>
      <c r="C30" s="2">
        <v>0.5</v>
      </c>
      <c r="D30" s="7">
        <v>0.5</v>
      </c>
      <c r="E30">
        <f t="shared" si="0"/>
        <v>3.1666666666666652</v>
      </c>
      <c r="F30">
        <f t="shared" si="1"/>
        <v>5.2777777777777757E-2</v>
      </c>
      <c r="G30">
        <f t="shared" si="5"/>
        <v>0.44451848036678188</v>
      </c>
      <c r="H30">
        <f t="shared" si="2"/>
        <v>1.0373216249868962</v>
      </c>
      <c r="I30">
        <f t="shared" si="3"/>
        <v>67.352104787541023</v>
      </c>
      <c r="J30">
        <f t="shared" si="6"/>
        <v>0.65999196575815122</v>
      </c>
      <c r="L30">
        <f t="shared" si="4"/>
        <v>6.5999196575815119E-3</v>
      </c>
    </row>
    <row r="31" spans="1:12" x14ac:dyDescent="0.2">
      <c r="A31" s="2">
        <v>0.5</v>
      </c>
      <c r="B31" s="2">
        <v>0.5</v>
      </c>
      <c r="C31" s="2">
        <v>0.5</v>
      </c>
      <c r="D31" s="7">
        <v>0.5</v>
      </c>
      <c r="E31">
        <f t="shared" si="0"/>
        <v>3.3333333333333317</v>
      </c>
      <c r="F31">
        <f t="shared" si="1"/>
        <v>5.5555555555555532E-2</v>
      </c>
      <c r="G31">
        <f t="shared" si="5"/>
        <v>0.46182685362621456</v>
      </c>
      <c r="H31">
        <f t="shared" si="2"/>
        <v>1.0373216249868962</v>
      </c>
      <c r="I31">
        <f t="shared" si="3"/>
        <v>67.352104787541023</v>
      </c>
      <c r="J31">
        <f t="shared" si="6"/>
        <v>0.68569030631340355</v>
      </c>
      <c r="L31">
        <f t="shared" si="4"/>
        <v>6.8569030631340355E-3</v>
      </c>
    </row>
    <row r="32" spans="1:12" x14ac:dyDescent="0.2">
      <c r="A32" s="2">
        <v>0.5</v>
      </c>
      <c r="B32" s="2">
        <v>0.5</v>
      </c>
      <c r="C32" s="2">
        <v>0.5</v>
      </c>
      <c r="D32" s="7">
        <v>0.5</v>
      </c>
      <c r="E32">
        <f t="shared" si="0"/>
        <v>3.4999999999999982</v>
      </c>
      <c r="F32">
        <f t="shared" si="1"/>
        <v>5.8333333333333307E-2</v>
      </c>
      <c r="G32">
        <f t="shared" si="5"/>
        <v>0.47864238199828624</v>
      </c>
      <c r="H32">
        <f t="shared" si="2"/>
        <v>1.0373216249868962</v>
      </c>
      <c r="I32">
        <f t="shared" si="3"/>
        <v>67.352104787541023</v>
      </c>
      <c r="J32">
        <f t="shared" si="6"/>
        <v>0.71065690301459861</v>
      </c>
      <c r="L32">
        <f t="shared" si="4"/>
        <v>7.1065690301459865E-3</v>
      </c>
    </row>
    <row r="33" spans="1:12" x14ac:dyDescent="0.2">
      <c r="A33" s="2">
        <v>0.5</v>
      </c>
      <c r="B33" s="2">
        <v>0.5</v>
      </c>
      <c r="C33" s="2">
        <v>0.5</v>
      </c>
      <c r="D33" s="7">
        <v>0.5</v>
      </c>
      <c r="E33">
        <f t="shared" si="0"/>
        <v>3.6666666666666647</v>
      </c>
      <c r="F33">
        <f t="shared" si="1"/>
        <v>6.1111111111111081E-2</v>
      </c>
      <c r="G33">
        <f t="shared" si="5"/>
        <v>0.49497909892677339</v>
      </c>
      <c r="H33">
        <f t="shared" si="2"/>
        <v>1.0373216249868962</v>
      </c>
      <c r="I33">
        <f t="shared" si="3"/>
        <v>67.352104787541023</v>
      </c>
      <c r="J33">
        <f t="shared" si="6"/>
        <v>0.73491259180119339</v>
      </c>
      <c r="L33">
        <f t="shared" si="4"/>
        <v>7.3491259180119336E-3</v>
      </c>
    </row>
    <row r="34" spans="1:12" x14ac:dyDescent="0.2">
      <c r="A34" s="2">
        <v>0.5</v>
      </c>
      <c r="B34" s="2">
        <v>0.5</v>
      </c>
      <c r="C34" s="2">
        <v>0.5</v>
      </c>
      <c r="D34" s="7">
        <v>0.5</v>
      </c>
      <c r="E34">
        <f t="shared" si="0"/>
        <v>3.8333333333333313</v>
      </c>
      <c r="F34">
        <f t="shared" si="1"/>
        <v>6.3888888888888856E-2</v>
      </c>
      <c r="G34">
        <f t="shared" si="5"/>
        <v>0.51085063826209298</v>
      </c>
      <c r="H34">
        <f t="shared" si="2"/>
        <v>1.0373216249868962</v>
      </c>
      <c r="I34">
        <f t="shared" si="3"/>
        <v>67.352104787541023</v>
      </c>
      <c r="J34">
        <f t="shared" si="6"/>
        <v>0.75847761532256008</v>
      </c>
      <c r="L34">
        <f t="shared" si="4"/>
        <v>7.5847761532256011E-3</v>
      </c>
    </row>
    <row r="35" spans="1:12" x14ac:dyDescent="0.2">
      <c r="A35" s="2">
        <v>0.5</v>
      </c>
      <c r="B35" s="2">
        <v>0.5</v>
      </c>
      <c r="C35" s="2">
        <v>0.5</v>
      </c>
      <c r="D35" s="7">
        <v>0.5</v>
      </c>
      <c r="E35">
        <f t="shared" si="0"/>
        <v>3.9999999999999982</v>
      </c>
      <c r="F35">
        <f t="shared" si="1"/>
        <v>6.6666666666666638E-2</v>
      </c>
      <c r="G35">
        <f t="shared" si="5"/>
        <v>0.52627024563946856</v>
      </c>
      <c r="H35">
        <f t="shared" si="2"/>
        <v>1.0373216249868962</v>
      </c>
      <c r="I35">
        <f t="shared" si="3"/>
        <v>67.352104787541023</v>
      </c>
      <c r="J35">
        <f t="shared" si="6"/>
        <v>0.78137163983154312</v>
      </c>
      <c r="L35">
        <f t="shared" si="4"/>
        <v>7.813716398315431E-3</v>
      </c>
    </row>
    <row r="36" spans="1:12" x14ac:dyDescent="0.2">
      <c r="A36" s="2">
        <v>0.5</v>
      </c>
      <c r="B36" s="2">
        <v>0.5</v>
      </c>
      <c r="C36" s="2">
        <v>0.5</v>
      </c>
      <c r="D36" s="7">
        <v>0.5</v>
      </c>
      <c r="E36">
        <f t="shared" si="0"/>
        <v>4.1666666666666652</v>
      </c>
      <c r="F36">
        <f t="shared" si="1"/>
        <v>6.944444444444442E-2</v>
      </c>
      <c r="G36">
        <f t="shared" si="5"/>
        <v>0.54125078953311023</v>
      </c>
      <c r="H36">
        <f t="shared" si="2"/>
        <v>1.0373216249868962</v>
      </c>
      <c r="I36">
        <f t="shared" si="3"/>
        <v>67.352104787541023</v>
      </c>
      <c r="J36">
        <f t="shared" si="6"/>
        <v>0.80361377159698255</v>
      </c>
      <c r="L36">
        <f t="shared" si="4"/>
        <v>8.0361377159698256E-3</v>
      </c>
    </row>
    <row r="37" spans="1:12" x14ac:dyDescent="0.2">
      <c r="A37" s="2">
        <v>0.5</v>
      </c>
      <c r="B37" s="2">
        <v>0.5</v>
      </c>
      <c r="C37" s="2">
        <v>0.5</v>
      </c>
      <c r="D37" s="7">
        <v>0.5</v>
      </c>
      <c r="E37">
        <f t="shared" si="0"/>
        <v>4.3333333333333321</v>
      </c>
      <c r="F37">
        <f t="shared" si="1"/>
        <v>7.2222222222222202E-2</v>
      </c>
      <c r="G37">
        <f t="shared" si="5"/>
        <v>0.55580477199563394</v>
      </c>
      <c r="H37">
        <f t="shared" si="2"/>
        <v>1.0373216249868962</v>
      </c>
      <c r="I37">
        <f t="shared" si="3"/>
        <v>67.352104787541023</v>
      </c>
      <c r="J37">
        <f t="shared" si="6"/>
        <v>0.8252225728489011</v>
      </c>
      <c r="L37">
        <f t="shared" si="4"/>
        <v>8.2522257284890106E-3</v>
      </c>
    </row>
    <row r="38" spans="1:12" x14ac:dyDescent="0.2">
      <c r="A38" s="2">
        <v>0.5</v>
      </c>
      <c r="B38" s="2">
        <v>0.5</v>
      </c>
      <c r="C38" s="2">
        <v>0.5</v>
      </c>
      <c r="D38" s="7">
        <v>0.5</v>
      </c>
      <c r="E38">
        <f t="shared" si="0"/>
        <v>4.4999999999999991</v>
      </c>
      <c r="F38">
        <f t="shared" si="1"/>
        <v>7.4999999999999983E-2</v>
      </c>
      <c r="G38">
        <f t="shared" si="5"/>
        <v>0.56994433909168241</v>
      </c>
      <c r="H38">
        <f t="shared" si="2"/>
        <v>1.0373216249868962</v>
      </c>
      <c r="I38">
        <f t="shared" si="3"/>
        <v>67.352104787541023</v>
      </c>
      <c r="J38">
        <f t="shared" si="6"/>
        <v>0.84621607726966286</v>
      </c>
      <c r="L38">
        <f t="shared" si="4"/>
        <v>8.4621607726966287E-3</v>
      </c>
    </row>
    <row r="39" spans="1:12" x14ac:dyDescent="0.2">
      <c r="A39" s="2">
        <v>0.5</v>
      </c>
      <c r="B39" s="2">
        <v>0.5</v>
      </c>
      <c r="C39" s="2">
        <v>0.5</v>
      </c>
      <c r="D39" s="7">
        <v>0.5</v>
      </c>
      <c r="E39">
        <f t="shared" si="0"/>
        <v>4.6666666666666661</v>
      </c>
      <c r="F39">
        <f t="shared" si="1"/>
        <v>7.7777777777777765E-2</v>
      </c>
      <c r="G39">
        <f t="shared" si="5"/>
        <v>0.58368129103445598</v>
      </c>
      <c r="H39">
        <f t="shared" si="2"/>
        <v>1.0373216249868962</v>
      </c>
      <c r="I39">
        <f t="shared" si="3"/>
        <v>67.352104787541023</v>
      </c>
      <c r="J39">
        <f t="shared" si="6"/>
        <v>0.86661180504403035</v>
      </c>
      <c r="L39">
        <f t="shared" si="4"/>
        <v>8.6661180504403034E-3</v>
      </c>
    </row>
    <row r="40" spans="1:12" x14ac:dyDescent="0.2">
      <c r="A40" s="2">
        <v>0.5</v>
      </c>
      <c r="B40" s="2">
        <v>0.5</v>
      </c>
      <c r="C40" s="2">
        <v>0.5</v>
      </c>
      <c r="D40" s="7">
        <v>0.5</v>
      </c>
      <c r="E40">
        <f t="shared" si="0"/>
        <v>4.833333333333333</v>
      </c>
      <c r="F40">
        <f t="shared" si="1"/>
        <v>8.0555555555555547E-2</v>
      </c>
      <c r="G40">
        <f t="shared" si="5"/>
        <v>0.59702709203361159</v>
      </c>
      <c r="H40">
        <f t="shared" si="2"/>
        <v>1.0373216249868962</v>
      </c>
      <c r="I40">
        <f t="shared" si="3"/>
        <v>67.352104787541023</v>
      </c>
      <c r="J40">
        <f t="shared" si="6"/>
        <v>0.88642677748068133</v>
      </c>
      <c r="L40">
        <f t="shared" si="4"/>
        <v>8.8642677748068128E-3</v>
      </c>
    </row>
    <row r="41" spans="1:12" x14ac:dyDescent="0.2">
      <c r="A41" s="2">
        <v>0.5</v>
      </c>
      <c r="B41" s="2">
        <v>0.5</v>
      </c>
      <c r="C41" s="2">
        <v>0.5</v>
      </c>
      <c r="D41" s="7">
        <v>0.5</v>
      </c>
      <c r="E41">
        <f t="shared" si="0"/>
        <v>5</v>
      </c>
      <c r="F41">
        <f t="shared" si="1"/>
        <v>8.3333333333333329E-2</v>
      </c>
      <c r="G41">
        <f t="shared" si="5"/>
        <v>0.6099928798627493</v>
      </c>
      <c r="H41">
        <f t="shared" si="2"/>
        <v>1.0373216249868962</v>
      </c>
      <c r="I41">
        <f t="shared" si="3"/>
        <v>67.352104787541023</v>
      </c>
      <c r="J41">
        <f t="shared" si="6"/>
        <v>0.90567753121738725</v>
      </c>
      <c r="L41">
        <f t="shared" si="4"/>
        <v>9.0567753121738731E-3</v>
      </c>
    </row>
    <row r="42" spans="1:12" x14ac:dyDescent="0.2">
      <c r="A42" s="2">
        <v>0.5</v>
      </c>
      <c r="B42" s="2">
        <v>0.5</v>
      </c>
      <c r="C42" s="2">
        <v>0.5</v>
      </c>
      <c r="D42" s="7">
        <v>0.5</v>
      </c>
      <c r="E42">
        <f t="shared" si="0"/>
        <v>5.166666666666667</v>
      </c>
      <c r="F42">
        <f t="shared" si="1"/>
        <v>8.611111111111111E-2</v>
      </c>
      <c r="G42">
        <f t="shared" si="5"/>
        <v>0.62258947515447072</v>
      </c>
      <c r="H42">
        <f t="shared" si="2"/>
        <v>1.0373216249868962</v>
      </c>
      <c r="I42">
        <f t="shared" si="3"/>
        <v>67.352104787541023</v>
      </c>
      <c r="J42">
        <f t="shared" si="6"/>
        <v>0.92438013202170777</v>
      </c>
      <c r="L42">
        <f t="shared" si="4"/>
        <v>9.243801320217078E-3</v>
      </c>
    </row>
    <row r="43" spans="1:12" x14ac:dyDescent="0.2">
      <c r="A43" s="2">
        <v>0.5</v>
      </c>
      <c r="B43" s="2">
        <v>0.5</v>
      </c>
      <c r="C43" s="2">
        <v>0.5</v>
      </c>
      <c r="D43" s="7">
        <v>0.5</v>
      </c>
      <c r="E43">
        <f t="shared" si="0"/>
        <v>5.3333333333333339</v>
      </c>
      <c r="F43">
        <f t="shared" si="1"/>
        <v>8.8888888888888892E-2</v>
      </c>
      <c r="G43">
        <f t="shared" si="5"/>
        <v>0.63482739043076675</v>
      </c>
      <c r="H43">
        <f t="shared" si="2"/>
        <v>1.0373216249868962</v>
      </c>
      <c r="I43">
        <f t="shared" si="3"/>
        <v>67.352104787541023</v>
      </c>
      <c r="J43">
        <f t="shared" si="6"/>
        <v>0.94255018819871961</v>
      </c>
      <c r="L43">
        <f t="shared" si="4"/>
        <v>9.4255018819871961E-3</v>
      </c>
    </row>
    <row r="44" spans="1:12" x14ac:dyDescent="0.2">
      <c r="A44" s="2">
        <v>0.5</v>
      </c>
      <c r="B44" s="2">
        <v>0.5</v>
      </c>
      <c r="C44" s="2">
        <v>0.5</v>
      </c>
      <c r="D44" s="7">
        <v>0.5</v>
      </c>
      <c r="E44">
        <f t="shared" si="0"/>
        <v>5.5</v>
      </c>
      <c r="F44">
        <f t="shared" si="1"/>
        <v>9.1666666666666674E-2</v>
      </c>
      <c r="G44">
        <f t="shared" si="5"/>
        <v>0.64671683887627074</v>
      </c>
      <c r="H44">
        <f t="shared" si="2"/>
        <v>1.0373216249868962</v>
      </c>
      <c r="I44">
        <f t="shared" si="3"/>
        <v>67.352104787541023</v>
      </c>
      <c r="J44">
        <f t="shared" si="6"/>
        <v>0.96020286361696916</v>
      </c>
      <c r="L44">
        <f t="shared" si="4"/>
        <v>9.6020286361696919E-3</v>
      </c>
    </row>
    <row r="45" spans="1:12" x14ac:dyDescent="0.2">
      <c r="A45" s="2">
        <v>0.5</v>
      </c>
      <c r="B45" s="2">
        <v>0.5</v>
      </c>
      <c r="C45" s="2">
        <v>0.5</v>
      </c>
      <c r="D45" s="7">
        <v>0.5</v>
      </c>
      <c r="E45">
        <f t="shared" si="0"/>
        <v>5.666666666666667</v>
      </c>
      <c r="F45">
        <f t="shared" si="1"/>
        <v>9.4444444444444456E-2</v>
      </c>
      <c r="G45">
        <f t="shared" si="5"/>
        <v>0.65826774286169876</v>
      </c>
      <c r="H45">
        <f t="shared" si="2"/>
        <v>1.0373216249868962</v>
      </c>
      <c r="I45">
        <f t="shared" si="3"/>
        <v>67.352104787541023</v>
      </c>
      <c r="J45">
        <f t="shared" si="6"/>
        <v>0.9773528903635198</v>
      </c>
      <c r="L45">
        <f t="shared" si="4"/>
        <v>9.773528903635198E-3</v>
      </c>
    </row>
    <row r="46" spans="1:12" x14ac:dyDescent="0.2">
      <c r="A46" s="2">
        <v>0.5</v>
      </c>
      <c r="B46" s="2">
        <v>0.5</v>
      </c>
      <c r="C46" s="2">
        <v>0.5</v>
      </c>
      <c r="D46" s="7">
        <v>0.5</v>
      </c>
      <c r="E46">
        <f t="shared" si="0"/>
        <v>5.8333333333333339</v>
      </c>
      <c r="F46">
        <f t="shared" si="1"/>
        <v>9.7222222222222238E-2</v>
      </c>
      <c r="G46">
        <f t="shared" si="5"/>
        <v>0.66948974222459023</v>
      </c>
      <c r="H46">
        <f t="shared" si="2"/>
        <v>1.0373216249868962</v>
      </c>
      <c r="I46">
        <f t="shared" si="3"/>
        <v>67.352104787541023</v>
      </c>
      <c r="J46">
        <f t="shared" si="6"/>
        <v>0.99401458103865259</v>
      </c>
      <c r="L46">
        <f t="shared" si="4"/>
        <v>9.9401458103865262E-3</v>
      </c>
    </row>
    <row r="47" spans="1:12" x14ac:dyDescent="0.2">
      <c r="A47" s="2">
        <v>0.5</v>
      </c>
      <c r="B47" s="2">
        <v>0.5</v>
      </c>
      <c r="C47" s="2">
        <v>0.5</v>
      </c>
      <c r="D47" s="7">
        <v>0.5</v>
      </c>
      <c r="E47">
        <f t="shared" si="0"/>
        <v>6.0000000000000009</v>
      </c>
      <c r="F47">
        <f t="shared" si="1"/>
        <v>0.10000000000000002</v>
      </c>
      <c r="G47">
        <f t="shared" si="5"/>
        <v>0.6803922023142599</v>
      </c>
      <c r="H47">
        <f t="shared" si="2"/>
        <v>1.0373216249868962</v>
      </c>
      <c r="I47">
        <f t="shared" si="3"/>
        <v>67.352104787541023</v>
      </c>
      <c r="J47">
        <f t="shared" si="6"/>
        <v>1.0102018407004865</v>
      </c>
      <c r="L47">
        <f t="shared" si="4"/>
        <v>1.0102018407004865E-2</v>
      </c>
    </row>
    <row r="48" spans="1:12" x14ac:dyDescent="0.2">
      <c r="A48" s="2">
        <v>0.5</v>
      </c>
      <c r="B48" s="2">
        <v>0.5</v>
      </c>
      <c r="C48" s="2">
        <v>0.5</v>
      </c>
      <c r="D48" s="7">
        <v>0.5</v>
      </c>
      <c r="E48">
        <f t="shared" si="0"/>
        <v>6.1666666666666679</v>
      </c>
      <c r="F48">
        <f t="shared" si="1"/>
        <v>0.1027777777777778</v>
      </c>
      <c r="G48">
        <f t="shared" si="5"/>
        <v>0.69098422180767527</v>
      </c>
      <c r="H48">
        <f t="shared" si="2"/>
        <v>1.0373216249868962</v>
      </c>
      <c r="I48">
        <f t="shared" si="3"/>
        <v>67.352104787541023</v>
      </c>
      <c r="J48">
        <f t="shared" si="6"/>
        <v>1.0259281784694803</v>
      </c>
      <c r="L48">
        <f t="shared" si="4"/>
        <v>1.0259281784694802E-2</v>
      </c>
    </row>
    <row r="49" spans="1:12" x14ac:dyDescent="0.2">
      <c r="A49" s="2">
        <v>0.5</v>
      </c>
      <c r="B49" s="2">
        <v>0.5</v>
      </c>
      <c r="C49" s="2">
        <v>0.5</v>
      </c>
      <c r="D49" s="7">
        <v>0.5</v>
      </c>
      <c r="E49">
        <f t="shared" si="0"/>
        <v>6.3333333333333348</v>
      </c>
      <c r="F49">
        <f t="shared" si="1"/>
        <v>0.10555555555555558</v>
      </c>
      <c r="G49">
        <f t="shared" si="5"/>
        <v>0.70127464030278119</v>
      </c>
      <c r="H49">
        <f t="shared" si="2"/>
        <v>1.0373216249868962</v>
      </c>
      <c r="I49">
        <f t="shared" si="3"/>
        <v>67.352104787541023</v>
      </c>
      <c r="J49">
        <f t="shared" si="6"/>
        <v>1.0412067188025056</v>
      </c>
      <c r="L49">
        <f t="shared" si="4"/>
        <v>1.0412067188025056E-2</v>
      </c>
    </row>
    <row r="50" spans="1:12" x14ac:dyDescent="0.2">
      <c r="A50" s="2">
        <v>0.5</v>
      </c>
      <c r="B50" s="2">
        <v>0.5</v>
      </c>
      <c r="C50" s="2">
        <v>0.5</v>
      </c>
      <c r="D50" s="7">
        <v>0.5</v>
      </c>
      <c r="E50">
        <f t="shared" si="0"/>
        <v>6.5000000000000018</v>
      </c>
      <c r="F50">
        <f t="shared" si="1"/>
        <v>0.10833333333333336</v>
      </c>
      <c r="G50">
        <f t="shared" si="5"/>
        <v>0.71127204569560987</v>
      </c>
      <c r="H50">
        <f t="shared" si="2"/>
        <v>1.0373216249868962</v>
      </c>
      <c r="I50">
        <f t="shared" si="3"/>
        <v>67.352104787541023</v>
      </c>
      <c r="J50">
        <f t="shared" si="6"/>
        <v>1.0560502124458966</v>
      </c>
      <c r="L50">
        <f t="shared" si="4"/>
        <v>1.0560502124458965E-2</v>
      </c>
    </row>
    <row r="51" spans="1:12" x14ac:dyDescent="0.2">
      <c r="A51" s="2">
        <v>0.5</v>
      </c>
      <c r="B51" s="2">
        <v>0.5</v>
      </c>
      <c r="C51" s="2">
        <v>0.5</v>
      </c>
      <c r="D51" s="7">
        <v>0.5</v>
      </c>
      <c r="E51">
        <f t="shared" si="0"/>
        <v>6.6666666666666687</v>
      </c>
      <c r="F51">
        <f t="shared" si="1"/>
        <v>0.11111111111111115</v>
      </c>
      <c r="G51">
        <f t="shared" si="5"/>
        <v>0.72098478134733246</v>
      </c>
      <c r="H51">
        <f t="shared" si="2"/>
        <v>1.0373216249868962</v>
      </c>
      <c r="I51">
        <f t="shared" si="3"/>
        <v>67.352104787541023</v>
      </c>
      <c r="J51">
        <f t="shared" si="6"/>
        <v>1.0704710470766197</v>
      </c>
      <c r="L51">
        <f t="shared" si="4"/>
        <v>1.0704710470766196E-2</v>
      </c>
    </row>
    <row r="52" spans="1:12" x14ac:dyDescent="0.2">
      <c r="A52" s="2">
        <v>0.5</v>
      </c>
      <c r="B52" s="2">
        <v>0.5</v>
      </c>
      <c r="C52" s="2">
        <v>0.5</v>
      </c>
      <c r="D52" s="7">
        <v>0.5</v>
      </c>
      <c r="E52">
        <f t="shared" si="0"/>
        <v>6.8333333333333357</v>
      </c>
      <c r="F52">
        <f t="shared" si="1"/>
        <v>0.11388888888888893</v>
      </c>
      <c r="G52">
        <f t="shared" si="5"/>
        <v>0.73042095304723298</v>
      </c>
      <c r="H52">
        <f t="shared" si="2"/>
        <v>1.0373216249868962</v>
      </c>
      <c r="I52">
        <f t="shared" si="3"/>
        <v>67.352104787541023</v>
      </c>
      <c r="J52">
        <f t="shared" si="6"/>
        <v>1.0844812576404417</v>
      </c>
      <c r="L52">
        <f t="shared" si="4"/>
        <v>1.0844812576404416E-2</v>
      </c>
    </row>
    <row r="53" spans="1:12" x14ac:dyDescent="0.2">
      <c r="A53" s="2">
        <v>0.5</v>
      </c>
      <c r="B53" s="2">
        <v>0.5</v>
      </c>
      <c r="C53" s="2">
        <v>0.5</v>
      </c>
      <c r="D53" s="7">
        <v>0.5</v>
      </c>
      <c r="E53">
        <f t="shared" si="0"/>
        <v>7.0000000000000027</v>
      </c>
      <c r="F53">
        <f t="shared" si="1"/>
        <v>0.11666666666666671</v>
      </c>
      <c r="G53">
        <f t="shared" si="5"/>
        <v>0.73958843577741629</v>
      </c>
      <c r="H53">
        <f t="shared" si="2"/>
        <v>1.0373216249868962</v>
      </c>
      <c r="I53">
        <f t="shared" si="3"/>
        <v>67.352104787541023</v>
      </c>
      <c r="J53">
        <f t="shared" si="6"/>
        <v>1.0980925363957257</v>
      </c>
      <c r="L53">
        <f t="shared" si="4"/>
        <v>1.0980925363957257E-2</v>
      </c>
    </row>
    <row r="54" spans="1:12" x14ac:dyDescent="0.2">
      <c r="A54" s="2">
        <v>0.5</v>
      </c>
      <c r="B54" s="2">
        <v>0.5</v>
      </c>
      <c r="C54" s="2">
        <v>0.5</v>
      </c>
      <c r="D54" s="7">
        <v>0.5</v>
      </c>
      <c r="E54">
        <f t="shared" si="0"/>
        <v>7.1666666666666696</v>
      </c>
      <c r="F54">
        <f t="shared" si="1"/>
        <v>0.11944444444444449</v>
      </c>
      <c r="G54">
        <f t="shared" si="5"/>
        <v>0.74849488028489553</v>
      </c>
      <c r="H54">
        <f t="shared" si="2"/>
        <v>1.0373216249868962</v>
      </c>
      <c r="I54">
        <f t="shared" si="3"/>
        <v>67.352104787541023</v>
      </c>
      <c r="J54">
        <f t="shared" si="6"/>
        <v>1.1113162426712375</v>
      </c>
      <c r="L54">
        <f t="shared" si="4"/>
        <v>1.1113162426712375E-2</v>
      </c>
    </row>
    <row r="55" spans="1:12" x14ac:dyDescent="0.2">
      <c r="A55" s="2">
        <v>0.5</v>
      </c>
      <c r="B55" s="2">
        <v>0.5</v>
      </c>
      <c r="C55" s="2">
        <v>0.5</v>
      </c>
      <c r="D55" s="7">
        <v>0.5</v>
      </c>
      <c r="E55">
        <f t="shared" si="0"/>
        <v>7.3333333333333366</v>
      </c>
      <c r="F55">
        <f t="shared" si="1"/>
        <v>0.12222222222222227</v>
      </c>
      <c r="G55">
        <f t="shared" si="5"/>
        <v>0.75714771946654302</v>
      </c>
      <c r="H55">
        <f t="shared" si="2"/>
        <v>1.0373216249868962</v>
      </c>
      <c r="I55">
        <f t="shared" si="3"/>
        <v>67.352104787541023</v>
      </c>
      <c r="J55">
        <f t="shared" si="6"/>
        <v>1.1241634123461013</v>
      </c>
      <c r="L55">
        <f t="shared" si="4"/>
        <v>1.1241634123461013E-2</v>
      </c>
    </row>
    <row r="56" spans="1:12" x14ac:dyDescent="0.2">
      <c r="A56" s="2">
        <v>0.5</v>
      </c>
      <c r="B56" s="2">
        <v>0.5</v>
      </c>
      <c r="C56" s="2">
        <v>0.5</v>
      </c>
      <c r="D56" s="7">
        <v>0.5</v>
      </c>
      <c r="E56">
        <f t="shared" si="0"/>
        <v>7.5000000000000036</v>
      </c>
      <c r="F56">
        <f t="shared" si="1"/>
        <v>0.12500000000000006</v>
      </c>
      <c r="G56">
        <f t="shared" si="5"/>
        <v>0.76555417457223429</v>
      </c>
      <c r="H56">
        <f t="shared" si="2"/>
        <v>1.0373216249868962</v>
      </c>
      <c r="I56">
        <f t="shared" si="3"/>
        <v>67.352104787541023</v>
      </c>
      <c r="J56">
        <f t="shared" si="6"/>
        <v>1.1366447670598241</v>
      </c>
      <c r="L56">
        <f t="shared" si="4"/>
        <v>1.136644767059824E-2</v>
      </c>
    </row>
    <row r="57" spans="1:12" x14ac:dyDescent="0.2">
      <c r="A57" s="2">
        <v>0.5</v>
      </c>
      <c r="B57" s="2">
        <v>0.5</v>
      </c>
      <c r="C57" s="2">
        <v>0.5</v>
      </c>
      <c r="D57" s="7">
        <v>0.5</v>
      </c>
      <c r="E57">
        <f t="shared" si="0"/>
        <v>7.6666666666666696</v>
      </c>
      <c r="F57">
        <f t="shared" si="1"/>
        <v>0.12777777777777782</v>
      </c>
      <c r="G57">
        <f t="shared" si="5"/>
        <v>0.77372126123136098</v>
      </c>
      <c r="H57">
        <f t="shared" si="2"/>
        <v>1.0373216249868962</v>
      </c>
      <c r="I57">
        <f t="shared" si="3"/>
        <v>67.352104787541023</v>
      </c>
      <c r="J57">
        <f t="shared" si="6"/>
        <v>1.1487707231600668</v>
      </c>
      <c r="L57">
        <f t="shared" si="4"/>
        <v>1.1487707231600667E-2</v>
      </c>
    </row>
    <row r="58" spans="1:12" x14ac:dyDescent="0.2">
      <c r="A58" s="2">
        <v>0.5</v>
      </c>
      <c r="B58" s="2">
        <v>0.5</v>
      </c>
      <c r="C58" s="2">
        <v>0.5</v>
      </c>
      <c r="D58" s="7">
        <v>0.5</v>
      </c>
      <c r="E58">
        <f t="shared" si="0"/>
        <v>7.8333333333333357</v>
      </c>
      <c r="F58">
        <f t="shared" si="1"/>
        <v>0.13055555555555559</v>
      </c>
      <c r="G58">
        <f t="shared" si="5"/>
        <v>0.78165579530774332</v>
      </c>
      <c r="H58">
        <f t="shared" si="2"/>
        <v>1.0373216249868962</v>
      </c>
      <c r="I58">
        <f t="shared" si="3"/>
        <v>67.352104787541023</v>
      </c>
      <c r="J58">
        <f t="shared" si="6"/>
        <v>1.1605514003956356</v>
      </c>
      <c r="L58">
        <f t="shared" si="4"/>
        <v>1.1605514003956357E-2</v>
      </c>
    </row>
    <row r="59" spans="1:12" x14ac:dyDescent="0.2">
      <c r="A59" s="2">
        <v>0.5</v>
      </c>
      <c r="B59" s="2">
        <v>0.5</v>
      </c>
      <c r="C59" s="2">
        <v>0.5</v>
      </c>
      <c r="D59" s="7">
        <v>0.5</v>
      </c>
      <c r="E59">
        <f t="shared" si="0"/>
        <v>8.0000000000000018</v>
      </c>
      <c r="F59">
        <f t="shared" si="1"/>
        <v>0.13333333333333336</v>
      </c>
      <c r="G59">
        <f t="shared" si="5"/>
        <v>0.78936439858782703</v>
      </c>
      <c r="H59">
        <f t="shared" si="2"/>
        <v>1.0373216249868962</v>
      </c>
      <c r="I59">
        <f t="shared" si="3"/>
        <v>67.352104787541023</v>
      </c>
      <c r="J59">
        <f t="shared" si="6"/>
        <v>1.1719966303619451</v>
      </c>
      <c r="L59">
        <f t="shared" si="4"/>
        <v>1.1719966303619451E-2</v>
      </c>
    </row>
    <row r="60" spans="1:12" x14ac:dyDescent="0.2">
      <c r="A60" s="2">
        <v>0.5</v>
      </c>
      <c r="B60" s="2">
        <v>0.5</v>
      </c>
      <c r="C60" s="2">
        <v>0.5</v>
      </c>
      <c r="D60" s="7">
        <v>0.5</v>
      </c>
      <c r="E60">
        <f t="shared" si="0"/>
        <v>8.1666666666666679</v>
      </c>
      <c r="F60">
        <f t="shared" si="1"/>
        <v>0.13611111111111113</v>
      </c>
      <c r="G60">
        <f t="shared" si="5"/>
        <v>0.79685350430691304</v>
      </c>
      <c r="H60">
        <f t="shared" si="2"/>
        <v>1.0373216249868962</v>
      </c>
      <c r="I60">
        <f t="shared" si="3"/>
        <v>67.352104787541023</v>
      </c>
      <c r="J60">
        <f t="shared" si="6"/>
        <v>1.1831159647060017</v>
      </c>
      <c r="L60">
        <f t="shared" si="4"/>
        <v>1.1831159647060017E-2</v>
      </c>
    </row>
    <row r="61" spans="1:12" x14ac:dyDescent="0.2">
      <c r="A61" s="2">
        <v>0.5</v>
      </c>
      <c r="B61" s="2">
        <v>0.5</v>
      </c>
      <c r="C61" s="2">
        <v>0.5</v>
      </c>
      <c r="D61" s="7">
        <v>0.5</v>
      </c>
      <c r="E61">
        <f t="shared" si="0"/>
        <v>8.3333333333333339</v>
      </c>
      <c r="F61">
        <f t="shared" si="1"/>
        <v>0.1388888888888889</v>
      </c>
      <c r="G61">
        <f t="shared" si="5"/>
        <v>0.80412936251803091</v>
      </c>
      <c r="H61">
        <f t="shared" si="2"/>
        <v>1.0373216249868962</v>
      </c>
      <c r="I61">
        <f t="shared" si="3"/>
        <v>67.352104787541023</v>
      </c>
      <c r="J61">
        <f t="shared" si="6"/>
        <v>1.1939186830977566</v>
      </c>
      <c r="L61">
        <f t="shared" si="4"/>
        <v>1.1939186830977565E-2</v>
      </c>
    </row>
    <row r="62" spans="1:12" x14ac:dyDescent="0.2">
      <c r="A62" s="2">
        <v>0.5</v>
      </c>
      <c r="B62" s="2">
        <v>0.5</v>
      </c>
      <c r="C62" s="2">
        <v>0.5</v>
      </c>
      <c r="D62" s="7">
        <v>0.5</v>
      </c>
      <c r="E62">
        <f t="shared" si="0"/>
        <v>8.5</v>
      </c>
      <c r="F62">
        <f t="shared" si="1"/>
        <v>0.14166666666666666</v>
      </c>
      <c r="G62">
        <f t="shared" si="5"/>
        <v>0.81119804530793693</v>
      </c>
      <c r="H62">
        <f t="shared" si="2"/>
        <v>1.0373216249868962</v>
      </c>
      <c r="I62">
        <f t="shared" si="3"/>
        <v>67.352104787541023</v>
      </c>
      <c r="J62">
        <f t="shared" si="6"/>
        <v>1.2044138009744791</v>
      </c>
      <c r="L62">
        <f t="shared" si="4"/>
        <v>1.2044138009744791E-2</v>
      </c>
    </row>
    <row r="63" spans="1:12" x14ac:dyDescent="0.2">
      <c r="A63" s="2">
        <v>0.5</v>
      </c>
      <c r="B63" s="2">
        <v>0.5</v>
      </c>
      <c r="C63" s="2">
        <v>0.5</v>
      </c>
      <c r="D63" s="7">
        <v>0.5</v>
      </c>
      <c r="E63">
        <f t="shared" si="0"/>
        <v>8.6666666666666661</v>
      </c>
      <c r="F63">
        <f t="shared" si="1"/>
        <v>0.14444444444444443</v>
      </c>
      <c r="G63">
        <f t="shared" si="5"/>
        <v>0.81806545186459079</v>
      </c>
      <c r="H63">
        <f t="shared" si="2"/>
        <v>1.0373216249868962</v>
      </c>
      <c r="I63">
        <f t="shared" si="3"/>
        <v>67.352104787541023</v>
      </c>
      <c r="J63">
        <f t="shared" si="6"/>
        <v>1.2146100770646129</v>
      </c>
      <c r="L63">
        <f t="shared" si="4"/>
        <v>1.2146100770646128E-2</v>
      </c>
    </row>
    <row r="64" spans="1:12" x14ac:dyDescent="0.2">
      <c r="A64" s="2">
        <v>0.5</v>
      </c>
      <c r="B64" s="2">
        <v>0.5</v>
      </c>
      <c r="C64" s="2">
        <v>0.5</v>
      </c>
      <c r="D64" s="7">
        <v>0.5</v>
      </c>
      <c r="E64">
        <f t="shared" si="0"/>
        <v>8.8333333333333321</v>
      </c>
      <c r="F64">
        <f t="shared" si="1"/>
        <v>0.1472222222222222</v>
      </c>
      <c r="G64">
        <f t="shared" si="5"/>
        <v>0.82473731340033796</v>
      </c>
      <c r="H64">
        <f t="shared" si="2"/>
        <v>1.0373216249868962</v>
      </c>
      <c r="I64">
        <f t="shared" si="3"/>
        <v>67.352104787541023</v>
      </c>
      <c r="J64">
        <f t="shared" si="6"/>
        <v>1.2245160206973964</v>
      </c>
      <c r="L64">
        <f t="shared" si="4"/>
        <v>1.2245160206973964E-2</v>
      </c>
    </row>
    <row r="65" spans="1:12" x14ac:dyDescent="0.2">
      <c r="A65" s="2">
        <v>0.5</v>
      </c>
      <c r="B65" s="2">
        <v>0.5</v>
      </c>
      <c r="C65" s="2">
        <v>0.5</v>
      </c>
      <c r="D65" s="7">
        <v>0.5</v>
      </c>
      <c r="E65">
        <f t="shared" si="0"/>
        <v>8.9999999999999982</v>
      </c>
      <c r="F65">
        <f t="shared" si="1"/>
        <v>0.14999999999999997</v>
      </c>
      <c r="G65">
        <f t="shared" si="5"/>
        <v>0.8312191979349085</v>
      </c>
      <c r="H65">
        <f t="shared" si="2"/>
        <v>1.0373216249868962</v>
      </c>
      <c r="I65">
        <f t="shared" si="3"/>
        <v>67.352104787541023</v>
      </c>
      <c r="J65">
        <f t="shared" si="6"/>
        <v>1.2341398989043468</v>
      </c>
      <c r="L65">
        <f t="shared" si="4"/>
        <v>1.2341398989043469E-2</v>
      </c>
    </row>
    <row r="66" spans="1:12" x14ac:dyDescent="0.2">
      <c r="A66" s="2">
        <v>0.5</v>
      </c>
      <c r="B66" s="2">
        <v>0.5</v>
      </c>
      <c r="C66" s="2">
        <v>0.5</v>
      </c>
      <c r="D66" s="7">
        <v>0.5</v>
      </c>
      <c r="E66">
        <f t="shared" si="0"/>
        <v>9.1666666666666643</v>
      </c>
      <c r="F66">
        <f t="shared" si="1"/>
        <v>0.15277777777777773</v>
      </c>
      <c r="G66">
        <f t="shared" si="5"/>
        <v>0.83751651494222246</v>
      </c>
      <c r="H66">
        <f t="shared" si="2"/>
        <v>1.0373216249868962</v>
      </c>
      <c r="I66">
        <f t="shared" si="3"/>
        <v>67.352104787541023</v>
      </c>
      <c r="J66">
        <f t="shared" si="6"/>
        <v>1.2434897433185317</v>
      </c>
      <c r="L66">
        <f t="shared" si="4"/>
        <v>1.2434897433185316E-2</v>
      </c>
    </row>
    <row r="67" spans="1:12" x14ac:dyDescent="0.2">
      <c r="A67" s="2">
        <v>0.5</v>
      </c>
      <c r="B67" s="2">
        <v>0.5</v>
      </c>
      <c r="C67" s="2">
        <v>0.5</v>
      </c>
      <c r="D67" s="7">
        <v>0.5</v>
      </c>
      <c r="E67">
        <f t="shared" si="0"/>
        <v>9.3333333333333304</v>
      </c>
      <c r="F67">
        <f t="shared" si="1"/>
        <v>0.1555555555555555</v>
      </c>
      <c r="G67">
        <f t="shared" si="5"/>
        <v>0.84363451986488081</v>
      </c>
      <c r="H67">
        <f t="shared" si="2"/>
        <v>1.0373216249868962</v>
      </c>
      <c r="I67">
        <f t="shared" si="3"/>
        <v>67.352104787541023</v>
      </c>
      <c r="J67">
        <f t="shared" si="6"/>
        <v>1.2525733568773914</v>
      </c>
      <c r="L67">
        <f t="shared" si="4"/>
        <v>1.2525733568773914E-2</v>
      </c>
    </row>
    <row r="68" spans="1:12" x14ac:dyDescent="0.2">
      <c r="A68" s="2">
        <v>0.5</v>
      </c>
      <c r="B68" s="2">
        <v>0.5</v>
      </c>
      <c r="C68" s="2">
        <v>0.5</v>
      </c>
      <c r="D68" s="7">
        <v>0.5</v>
      </c>
      <c r="E68">
        <f t="shared" si="0"/>
        <v>9.4999999999999964</v>
      </c>
      <c r="F68">
        <f t="shared" si="1"/>
        <v>0.15833333333333327</v>
      </c>
      <c r="G68">
        <f t="shared" si="5"/>
        <v>0.8495783185001089</v>
      </c>
      <c r="H68">
        <f t="shared" si="2"/>
        <v>1.0373216249868962</v>
      </c>
      <c r="I68">
        <f t="shared" si="3"/>
        <v>67.352104787541023</v>
      </c>
      <c r="J68">
        <f t="shared" si="6"/>
        <v>1.261398320334699</v>
      </c>
      <c r="L68">
        <f t="shared" si="4"/>
        <v>1.2613983203346991E-2</v>
      </c>
    </row>
    <row r="69" spans="1:12" x14ac:dyDescent="0.2">
      <c r="A69" s="2">
        <v>0.5</v>
      </c>
      <c r="B69" s="2">
        <v>0.5</v>
      </c>
      <c r="C69" s="2">
        <v>0.5</v>
      </c>
      <c r="D69" s="7">
        <v>0.5</v>
      </c>
      <c r="E69">
        <f t="shared" si="0"/>
        <v>9.6666666666666625</v>
      </c>
      <c r="F69">
        <f t="shared" si="1"/>
        <v>0.16111111111111104</v>
      </c>
      <c r="G69">
        <f t="shared" si="5"/>
        <v>0.85535287126081339</v>
      </c>
      <c r="H69">
        <f t="shared" si="2"/>
        <v>1.0373216249868962</v>
      </c>
      <c r="I69">
        <f t="shared" si="3"/>
        <v>67.352104787541023</v>
      </c>
      <c r="J69">
        <f t="shared" si="6"/>
        <v>1.2699719985871012</v>
      </c>
      <c r="L69">
        <f t="shared" si="4"/>
        <v>1.2699719985871012E-2</v>
      </c>
    </row>
    <row r="70" spans="1:12" x14ac:dyDescent="0.2">
      <c r="A70" s="2">
        <v>0.5</v>
      </c>
      <c r="B70" s="2">
        <v>0.5</v>
      </c>
      <c r="C70" s="2">
        <v>0.5</v>
      </c>
      <c r="D70" s="7">
        <v>0.5</v>
      </c>
      <c r="E70">
        <f t="shared" si="0"/>
        <v>9.8333333333333286</v>
      </c>
      <c r="F70">
        <f t="shared" si="1"/>
        <v>0.16388888888888881</v>
      </c>
      <c r="G70">
        <f t="shared" si="5"/>
        <v>0.86096299731530734</v>
      </c>
      <c r="H70">
        <f t="shared" si="2"/>
        <v>1.0373216249868962</v>
      </c>
      <c r="I70">
        <f t="shared" si="3"/>
        <v>67.352104787541023</v>
      </c>
      <c r="J70">
        <f t="shared" si="6"/>
        <v>1.2783015468205094</v>
      </c>
      <c r="L70">
        <f t="shared" si="4"/>
        <v>1.2783015468205094E-2</v>
      </c>
    </row>
    <row r="71" spans="1:12" x14ac:dyDescent="0.2">
      <c r="A71" s="2">
        <v>1</v>
      </c>
      <c r="B71" s="2">
        <v>1</v>
      </c>
      <c r="C71" s="2">
        <v>1</v>
      </c>
      <c r="D71" s="7">
        <v>1</v>
      </c>
      <c r="E71">
        <f t="shared" si="0"/>
        <v>9.9999999999999947</v>
      </c>
      <c r="F71">
        <f t="shared" si="1"/>
        <v>0.16666666666666657</v>
      </c>
      <c r="G71">
        <f t="shared" si="5"/>
        <v>0.89637913203381803</v>
      </c>
      <c r="H71">
        <f t="shared" si="2"/>
        <v>2.0746432499737923</v>
      </c>
      <c r="I71">
        <f t="shared" si="3"/>
        <v>67.352104787541023</v>
      </c>
      <c r="J71">
        <f t="shared" si="6"/>
        <v>1.3308851072455758</v>
      </c>
      <c r="L71">
        <f t="shared" si="4"/>
        <v>1.3308851072455758E-2</v>
      </c>
    </row>
    <row r="72" spans="1:12" x14ac:dyDescent="0.2">
      <c r="A72" s="2">
        <v>1</v>
      </c>
      <c r="B72" s="2">
        <v>1</v>
      </c>
      <c r="C72" s="2">
        <v>1</v>
      </c>
      <c r="D72" s="7">
        <v>1</v>
      </c>
      <c r="E72">
        <f t="shared" si="0"/>
        <v>10.166666666666661</v>
      </c>
      <c r="F72">
        <f t="shared" si="1"/>
        <v>0.16944444444444434</v>
      </c>
      <c r="G72">
        <f t="shared" si="5"/>
        <v>0.93078681490856041</v>
      </c>
      <c r="H72">
        <f t="shared" si="2"/>
        <v>2.0746432499737923</v>
      </c>
      <c r="I72">
        <f t="shared" si="3"/>
        <v>67.352104787541023</v>
      </c>
      <c r="J72">
        <f t="shared" si="6"/>
        <v>1.3819713843311692</v>
      </c>
      <c r="L72">
        <f t="shared" si="4"/>
        <v>1.3819713843311692E-2</v>
      </c>
    </row>
    <row r="73" spans="1:12" x14ac:dyDescent="0.2">
      <c r="A73" s="2">
        <v>1</v>
      </c>
      <c r="B73" s="2">
        <v>1</v>
      </c>
      <c r="C73" s="2">
        <v>1</v>
      </c>
      <c r="D73" s="7">
        <v>1</v>
      </c>
      <c r="E73">
        <f t="shared" si="0"/>
        <v>10.333333333333327</v>
      </c>
      <c r="F73">
        <f t="shared" si="1"/>
        <v>0.17222222222222211</v>
      </c>
      <c r="G73">
        <f t="shared" si="5"/>
        <v>0.96421476096248315</v>
      </c>
      <c r="H73">
        <f t="shared" si="2"/>
        <v>2.0746432499737923</v>
      </c>
      <c r="I73">
        <f t="shared" si="3"/>
        <v>67.352104787541023</v>
      </c>
      <c r="J73">
        <f t="shared" si="6"/>
        <v>1.4316030122652474</v>
      </c>
      <c r="L73">
        <f t="shared" si="4"/>
        <v>1.4316030122652474E-2</v>
      </c>
    </row>
    <row r="74" spans="1:12" x14ac:dyDescent="0.2">
      <c r="A74" s="2">
        <v>1</v>
      </c>
      <c r="B74" s="2">
        <v>1</v>
      </c>
      <c r="C74" s="2">
        <v>1</v>
      </c>
      <c r="D74" s="7">
        <v>1</v>
      </c>
      <c r="E74">
        <f t="shared" si="0"/>
        <v>10.499999999999993</v>
      </c>
      <c r="F74">
        <f t="shared" si="1"/>
        <v>0.17499999999999988</v>
      </c>
      <c r="G74">
        <f t="shared" si="5"/>
        <v>0.99669086757657421</v>
      </c>
      <c r="H74">
        <f t="shared" si="2"/>
        <v>2.0746432499737923</v>
      </c>
      <c r="I74">
        <f t="shared" si="3"/>
        <v>67.352104787541023</v>
      </c>
      <c r="J74">
        <f t="shared" si="6"/>
        <v>1.4798214112544628</v>
      </c>
      <c r="L74">
        <f t="shared" si="4"/>
        <v>1.4798214112544627E-2</v>
      </c>
    </row>
    <row r="75" spans="1:12" x14ac:dyDescent="0.2">
      <c r="A75" s="2">
        <v>1</v>
      </c>
      <c r="B75" s="2">
        <v>1</v>
      </c>
      <c r="C75" s="2">
        <v>1</v>
      </c>
      <c r="D75" s="7">
        <v>1</v>
      </c>
      <c r="E75">
        <f t="shared" si="0"/>
        <v>10.666666666666659</v>
      </c>
      <c r="F75">
        <f t="shared" si="1"/>
        <v>0.17777777777777765</v>
      </c>
      <c r="G75">
        <f t="shared" si="5"/>
        <v>1.0282422377716942</v>
      </c>
      <c r="H75">
        <f t="shared" si="2"/>
        <v>2.0746432499737923</v>
      </c>
      <c r="I75">
        <f t="shared" si="3"/>
        <v>67.352104787541023</v>
      </c>
      <c r="J75">
        <f t="shared" si="6"/>
        <v>1.5266668220915069</v>
      </c>
      <c r="L75">
        <f t="shared" si="4"/>
        <v>1.526666822091507E-2</v>
      </c>
    </row>
    <row r="76" spans="1:12" x14ac:dyDescent="0.2">
      <c r="A76" s="2">
        <v>1</v>
      </c>
      <c r="B76" s="2">
        <v>1</v>
      </c>
      <c r="C76" s="2">
        <v>1</v>
      </c>
      <c r="D76" s="7">
        <v>1</v>
      </c>
      <c r="E76">
        <f t="shared" ref="E76:E139" si="7">F76*60</f>
        <v>10.833333333333325</v>
      </c>
      <c r="F76">
        <f t="shared" ref="F76:F139" si="8">Tsamp+F75</f>
        <v>0.18055555555555541</v>
      </c>
      <c r="G76">
        <f t="shared" ref="G76:G139" si="9">Tsamp*$D76*G$3/G$5+G$8*G75</f>
        <v>1.0588952028274736</v>
      </c>
      <c r="H76">
        <f t="shared" ref="H76:H139" si="10">$D76*$G$3/$G$6</f>
        <v>2.0746432499737923</v>
      </c>
      <c r="I76">
        <f t="shared" ref="I76:I139" si="11">Tsamp*32*$G$3/($G$5*(1-$G$8))</f>
        <v>67.352104787541023</v>
      </c>
      <c r="J76">
        <f t="shared" si="6"/>
        <v>1.5721783397381679</v>
      </c>
      <c r="L76">
        <f t="shared" ref="L76:L139" si="12">$J76/100</f>
        <v>1.5721783397381679E-2</v>
      </c>
    </row>
    <row r="77" spans="1:12" x14ac:dyDescent="0.2">
      <c r="A77" s="2">
        <v>1</v>
      </c>
      <c r="B77" s="2">
        <v>1</v>
      </c>
      <c r="C77" s="2">
        <v>1</v>
      </c>
      <c r="D77" s="7">
        <v>1</v>
      </c>
      <c r="E77">
        <f t="shared" si="7"/>
        <v>10.999999999999991</v>
      </c>
      <c r="F77">
        <f t="shared" si="8"/>
        <v>0.18333333333333318</v>
      </c>
      <c r="G77">
        <f t="shared" si="9"/>
        <v>1.0886753442571526</v>
      </c>
      <c r="H77">
        <f t="shared" si="10"/>
        <v>2.0746432499737923</v>
      </c>
      <c r="I77">
        <f t="shared" si="11"/>
        <v>67.352104787541023</v>
      </c>
      <c r="J77">
        <f t="shared" ref="J77:J140" si="13">$G77/$I77*100</f>
        <v>1.616393945952137</v>
      </c>
      <c r="L77">
        <f t="shared" si="12"/>
        <v>1.6163939459521371E-2</v>
      </c>
    </row>
    <row r="78" spans="1:12" x14ac:dyDescent="0.2">
      <c r="A78" s="2">
        <v>1</v>
      </c>
      <c r="B78" s="2">
        <v>1</v>
      </c>
      <c r="C78" s="2">
        <v>1</v>
      </c>
      <c r="D78" s="7">
        <v>1</v>
      </c>
      <c r="E78">
        <f t="shared" si="7"/>
        <v>11.166666666666657</v>
      </c>
      <c r="F78">
        <f t="shared" si="8"/>
        <v>0.18611111111111095</v>
      </c>
      <c r="G78">
        <f t="shared" si="9"/>
        <v>1.1176075151567006</v>
      </c>
      <c r="H78">
        <f t="shared" si="10"/>
        <v>2.0746432499737923</v>
      </c>
      <c r="I78">
        <f t="shared" si="11"/>
        <v>67.352104787541023</v>
      </c>
      <c r="J78">
        <f t="shared" si="13"/>
        <v>1.6593505409847842</v>
      </c>
      <c r="L78">
        <f t="shared" si="12"/>
        <v>1.6593505409847841E-2</v>
      </c>
    </row>
    <row r="79" spans="1:12" x14ac:dyDescent="0.2">
      <c r="A79" s="2">
        <v>1</v>
      </c>
      <c r="B79" s="2">
        <v>1</v>
      </c>
      <c r="C79" s="2">
        <v>1</v>
      </c>
      <c r="D79" s="7">
        <v>1</v>
      </c>
      <c r="E79">
        <f t="shared" si="7"/>
        <v>11.333333333333323</v>
      </c>
      <c r="F79">
        <f t="shared" si="8"/>
        <v>0.18888888888888872</v>
      </c>
      <c r="G79">
        <f t="shared" si="9"/>
        <v>1.1457158609460336</v>
      </c>
      <c r="H79">
        <f t="shared" si="10"/>
        <v>2.0746432499737923</v>
      </c>
      <c r="I79">
        <f t="shared" si="11"/>
        <v>67.352104787541023</v>
      </c>
      <c r="J79">
        <f t="shared" si="13"/>
        <v>1.7010839743763602</v>
      </c>
      <c r="L79">
        <f t="shared" si="12"/>
        <v>1.7010839743763603E-2</v>
      </c>
    </row>
    <row r="80" spans="1:12" x14ac:dyDescent="0.2">
      <c r="A80" s="2">
        <v>1</v>
      </c>
      <c r="B80" s="2">
        <v>1</v>
      </c>
      <c r="C80" s="2">
        <v>1</v>
      </c>
      <c r="D80" s="7">
        <v>1</v>
      </c>
      <c r="E80">
        <f t="shared" si="7"/>
        <v>11.499999999999989</v>
      </c>
      <c r="F80">
        <f t="shared" si="8"/>
        <v>0.19166666666666649</v>
      </c>
      <c r="G80">
        <f t="shared" si="9"/>
        <v>1.1730238395196377</v>
      </c>
      <c r="H80">
        <f t="shared" si="10"/>
        <v>2.0746432499737923</v>
      </c>
      <c r="I80">
        <f t="shared" si="11"/>
        <v>67.352104787541023</v>
      </c>
      <c r="J80">
        <f t="shared" si="13"/>
        <v>1.7416290748743266</v>
      </c>
      <c r="L80">
        <f t="shared" si="12"/>
        <v>1.7416290748743266E-2</v>
      </c>
    </row>
    <row r="81" spans="1:12" x14ac:dyDescent="0.2">
      <c r="A81" s="2">
        <v>1</v>
      </c>
      <c r="B81" s="2">
        <v>1</v>
      </c>
      <c r="C81" s="2">
        <v>1</v>
      </c>
      <c r="D81" s="7">
        <v>1</v>
      </c>
      <c r="E81">
        <f t="shared" si="7"/>
        <v>11.666666666666655</v>
      </c>
      <c r="F81">
        <f t="shared" si="8"/>
        <v>0.19444444444444425</v>
      </c>
      <c r="G81">
        <f t="shared" si="9"/>
        <v>1.1995542408234179</v>
      </c>
      <c r="H81">
        <f t="shared" si="10"/>
        <v>2.0746432499737923</v>
      </c>
      <c r="I81">
        <f t="shared" si="11"/>
        <v>67.352104787541023</v>
      </c>
      <c r="J81">
        <f t="shared" si="13"/>
        <v>1.7810196794997784</v>
      </c>
      <c r="L81">
        <f t="shared" si="12"/>
        <v>1.7810196794997783E-2</v>
      </c>
    </row>
    <row r="82" spans="1:12" x14ac:dyDescent="0.2">
      <c r="A82" s="2">
        <v>1</v>
      </c>
      <c r="B82" s="2">
        <v>1</v>
      </c>
      <c r="C82" s="2">
        <v>1</v>
      </c>
      <c r="D82" s="7">
        <v>1</v>
      </c>
      <c r="E82">
        <f t="shared" si="7"/>
        <v>11.833333333333321</v>
      </c>
      <c r="F82">
        <f t="shared" si="8"/>
        <v>0.19722222222222202</v>
      </c>
      <c r="G82">
        <f t="shared" si="9"/>
        <v>1.2253292058741072</v>
      </c>
      <c r="H82">
        <f t="shared" si="10"/>
        <v>2.0746432499737923</v>
      </c>
      <c r="I82">
        <f t="shared" si="11"/>
        <v>67.352104787541023</v>
      </c>
      <c r="J82">
        <f t="shared" si="13"/>
        <v>1.8192886617862194</v>
      </c>
      <c r="L82">
        <f t="shared" si="12"/>
        <v>1.8192886617862194E-2</v>
      </c>
    </row>
    <row r="83" spans="1:12" x14ac:dyDescent="0.2">
      <c r="A83" s="2">
        <v>1</v>
      </c>
      <c r="B83" s="2">
        <v>1</v>
      </c>
      <c r="C83" s="2">
        <v>1</v>
      </c>
      <c r="D83" s="7">
        <v>1</v>
      </c>
      <c r="E83">
        <f t="shared" si="7"/>
        <v>11.999999999999988</v>
      </c>
      <c r="F83">
        <f t="shared" si="8"/>
        <v>0.19999999999999979</v>
      </c>
      <c r="G83">
        <f t="shared" si="9"/>
        <v>1.2503702452371113</v>
      </c>
      <c r="H83">
        <f t="shared" si="10"/>
        <v>2.0746432499737923</v>
      </c>
      <c r="I83">
        <f t="shared" si="11"/>
        <v>67.352104787541023</v>
      </c>
      <c r="J83">
        <f t="shared" si="13"/>
        <v>1.8564679592142579</v>
      </c>
      <c r="L83">
        <f t="shared" si="12"/>
        <v>1.8564679592142579E-2</v>
      </c>
    </row>
    <row r="84" spans="1:12" x14ac:dyDescent="0.2">
      <c r="A84" s="2">
        <v>1</v>
      </c>
      <c r="B84" s="2">
        <v>1</v>
      </c>
      <c r="C84" s="2">
        <v>1</v>
      </c>
      <c r="D84" s="7">
        <v>1</v>
      </c>
      <c r="E84">
        <f t="shared" si="7"/>
        <v>12.166666666666654</v>
      </c>
      <c r="F84">
        <f t="shared" si="8"/>
        <v>0.20277777777777756</v>
      </c>
      <c r="G84">
        <f t="shared" si="9"/>
        <v>1.2746982569782077</v>
      </c>
      <c r="H84">
        <f t="shared" si="10"/>
        <v>2.0746432499737923</v>
      </c>
      <c r="I84">
        <f t="shared" si="11"/>
        <v>67.352104787541023</v>
      </c>
      <c r="J84">
        <f t="shared" si="13"/>
        <v>1.8925885998651151</v>
      </c>
      <c r="L84">
        <f t="shared" si="12"/>
        <v>1.8925885998651151E-2</v>
      </c>
    </row>
    <row r="85" spans="1:12" x14ac:dyDescent="0.2">
      <c r="A85" s="2">
        <v>1</v>
      </c>
      <c r="B85" s="2">
        <v>1</v>
      </c>
      <c r="C85" s="2">
        <v>1</v>
      </c>
      <c r="D85" s="7">
        <v>1</v>
      </c>
      <c r="E85">
        <f t="shared" si="7"/>
        <v>12.33333333333332</v>
      </c>
      <c r="F85">
        <f t="shared" si="8"/>
        <v>0.20555555555555532</v>
      </c>
      <c r="G85">
        <f t="shared" si="9"/>
        <v>1.2983335441040822</v>
      </c>
      <c r="H85">
        <f t="shared" si="10"/>
        <v>2.0746432499737923</v>
      </c>
      <c r="I85">
        <f t="shared" si="11"/>
        <v>67.352104787541023</v>
      </c>
      <c r="J85">
        <f t="shared" si="13"/>
        <v>1.9276807283151922</v>
      </c>
      <c r="L85">
        <f t="shared" si="12"/>
        <v>1.9276807283151922E-2</v>
      </c>
    </row>
    <row r="86" spans="1:12" x14ac:dyDescent="0.2">
      <c r="A86" s="2">
        <v>1</v>
      </c>
      <c r="B86" s="2">
        <v>1</v>
      </c>
      <c r="C86" s="2">
        <v>1</v>
      </c>
      <c r="D86" s="7">
        <v>1</v>
      </c>
      <c r="E86">
        <f t="shared" si="7"/>
        <v>12.499999999999986</v>
      </c>
      <c r="F86">
        <f t="shared" si="8"/>
        <v>0.20833333333333309</v>
      </c>
      <c r="G86">
        <f t="shared" si="9"/>
        <v>1.3212958315062566</v>
      </c>
      <c r="H86">
        <f t="shared" si="10"/>
        <v>2.0746432499737923</v>
      </c>
      <c r="I86">
        <f t="shared" si="11"/>
        <v>67.352104787541023</v>
      </c>
      <c r="J86">
        <f t="shared" si="13"/>
        <v>1.9617736307933076</v>
      </c>
      <c r="L86">
        <f t="shared" si="12"/>
        <v>1.9617736307933075E-2</v>
      </c>
    </row>
    <row r="87" spans="1:12" x14ac:dyDescent="0.2">
      <c r="A87" s="2">
        <v>1</v>
      </c>
      <c r="B87" s="2">
        <v>1</v>
      </c>
      <c r="C87" s="2">
        <v>1</v>
      </c>
      <c r="D87" s="7">
        <v>1</v>
      </c>
      <c r="E87">
        <f t="shared" si="7"/>
        <v>12.666666666666652</v>
      </c>
      <c r="F87">
        <f t="shared" si="8"/>
        <v>0.21111111111111086</v>
      </c>
      <c r="G87">
        <f t="shared" si="9"/>
        <v>1.3436042824225494</v>
      </c>
      <c r="H87">
        <f t="shared" si="10"/>
        <v>2.0746432499737923</v>
      </c>
      <c r="I87">
        <f t="shared" si="11"/>
        <v>67.352104787541023</v>
      </c>
      <c r="J87">
        <f t="shared" si="13"/>
        <v>1.9948957596215955</v>
      </c>
      <c r="L87">
        <f t="shared" si="12"/>
        <v>1.9948957596215955E-2</v>
      </c>
    </row>
    <row r="88" spans="1:12" x14ac:dyDescent="0.2">
      <c r="A88" s="2">
        <v>1</v>
      </c>
      <c r="B88" s="2">
        <v>1</v>
      </c>
      <c r="C88" s="2">
        <v>1</v>
      </c>
      <c r="D88" s="7">
        <v>1</v>
      </c>
      <c r="E88">
        <f t="shared" si="7"/>
        <v>12.833333333333318</v>
      </c>
      <c r="F88">
        <f t="shared" si="8"/>
        <v>0.21388888888888863</v>
      </c>
      <c r="G88">
        <f t="shared" si="9"/>
        <v>1.3652775144298066</v>
      </c>
      <c r="H88">
        <f t="shared" si="10"/>
        <v>2.0746432499737923</v>
      </c>
      <c r="I88">
        <f t="shared" si="11"/>
        <v>67.352104787541023</v>
      </c>
      <c r="J88">
        <f t="shared" si="13"/>
        <v>2.0270747569604675</v>
      </c>
      <c r="L88">
        <f t="shared" si="12"/>
        <v>2.0270747569604675E-2</v>
      </c>
    </row>
    <row r="89" spans="1:12" x14ac:dyDescent="0.2">
      <c r="A89" s="2">
        <v>1</v>
      </c>
      <c r="B89" s="2">
        <v>1</v>
      </c>
      <c r="C89" s="2">
        <v>1</v>
      </c>
      <c r="D89" s="7">
        <v>1</v>
      </c>
      <c r="E89">
        <f t="shared" si="7"/>
        <v>12.999999999999984</v>
      </c>
      <c r="F89">
        <f t="shared" si="8"/>
        <v>0.2166666666666664</v>
      </c>
      <c r="G89">
        <f t="shared" si="9"/>
        <v>1.3863336149812497</v>
      </c>
      <c r="H89">
        <f t="shared" si="10"/>
        <v>2.0746432499737923</v>
      </c>
      <c r="I89">
        <f t="shared" si="11"/>
        <v>67.352104787541023</v>
      </c>
      <c r="J89">
        <f t="shared" si="13"/>
        <v>2.0583374778774508</v>
      </c>
      <c r="L89">
        <f t="shared" si="12"/>
        <v>2.0583374778774508E-2</v>
      </c>
    </row>
    <row r="90" spans="1:12" x14ac:dyDescent="0.2">
      <c r="A90" s="2">
        <v>2</v>
      </c>
      <c r="B90" s="2">
        <v>1</v>
      </c>
      <c r="C90" s="2">
        <v>1</v>
      </c>
      <c r="D90" s="7">
        <v>1</v>
      </c>
      <c r="E90">
        <f t="shared" si="7"/>
        <v>13.16666666666665</v>
      </c>
      <c r="F90">
        <f t="shared" si="8"/>
        <v>0.21944444444444416</v>
      </c>
      <c r="G90">
        <f t="shared" si="9"/>
        <v>1.4067901565014083</v>
      </c>
      <c r="H90">
        <f t="shared" si="10"/>
        <v>2.0746432499737923</v>
      </c>
      <c r="I90">
        <f t="shared" si="11"/>
        <v>67.352104787541023</v>
      </c>
      <c r="J90">
        <f t="shared" si="13"/>
        <v>2.0887100127591562</v>
      </c>
      <c r="L90">
        <f t="shared" si="12"/>
        <v>2.0887100127591561E-2</v>
      </c>
    </row>
    <row r="91" spans="1:12" x14ac:dyDescent="0.2">
      <c r="A91" s="2">
        <v>2</v>
      </c>
      <c r="B91" s="2">
        <v>1</v>
      </c>
      <c r="C91" s="2">
        <v>1</v>
      </c>
      <c r="D91" s="7">
        <v>1</v>
      </c>
      <c r="E91">
        <f t="shared" si="7"/>
        <v>13.333333333333316</v>
      </c>
      <c r="F91">
        <f t="shared" si="8"/>
        <v>0.22222222222222193</v>
      </c>
      <c r="G91">
        <f t="shared" si="9"/>
        <v>1.4266642110512326</v>
      </c>
      <c r="H91">
        <f t="shared" si="10"/>
        <v>2.0746432499737923</v>
      </c>
      <c r="I91">
        <f t="shared" si="11"/>
        <v>67.352104787541023</v>
      </c>
      <c r="J91">
        <f t="shared" si="13"/>
        <v>2.1182177090850782</v>
      </c>
      <c r="L91">
        <f t="shared" si="12"/>
        <v>2.1182177090850782E-2</v>
      </c>
    </row>
    <row r="92" spans="1:12" x14ac:dyDescent="0.2">
      <c r="A92" s="2">
        <v>2</v>
      </c>
      <c r="B92" s="2">
        <v>1</v>
      </c>
      <c r="C92" s="2">
        <v>1</v>
      </c>
      <c r="D92" s="7">
        <v>1</v>
      </c>
      <c r="E92">
        <f t="shared" si="7"/>
        <v>13.499999999999982</v>
      </c>
      <c r="F92">
        <f t="shared" si="8"/>
        <v>0.2249999999999997</v>
      </c>
      <c r="G92">
        <f t="shared" si="9"/>
        <v>1.4459723645756284</v>
      </c>
      <c r="H92">
        <f t="shared" si="10"/>
        <v>2.0746432499737923</v>
      </c>
      <c r="I92">
        <f t="shared" si="11"/>
        <v>67.352104787541023</v>
      </c>
      <c r="J92">
        <f t="shared" si="13"/>
        <v>2.146885192581403</v>
      </c>
      <c r="L92">
        <f t="shared" si="12"/>
        <v>2.146885192581403E-2</v>
      </c>
    </row>
    <row r="93" spans="1:12" x14ac:dyDescent="0.2">
      <c r="A93" s="2">
        <v>2</v>
      </c>
      <c r="B93" s="2">
        <v>1</v>
      </c>
      <c r="C93" s="2">
        <v>1</v>
      </c>
      <c r="D93" s="7">
        <v>1</v>
      </c>
      <c r="E93">
        <f t="shared" si="7"/>
        <v>13.666666666666648</v>
      </c>
      <c r="F93">
        <f t="shared" si="8"/>
        <v>0.22777777777777747</v>
      </c>
      <c r="G93">
        <f t="shared" si="9"/>
        <v>1.4647307307453001</v>
      </c>
      <c r="H93">
        <f t="shared" si="10"/>
        <v>2.0746432499737923</v>
      </c>
      <c r="I93">
        <f t="shared" si="11"/>
        <v>67.352104787541023</v>
      </c>
      <c r="J93">
        <f t="shared" si="13"/>
        <v>2.1747363877724726</v>
      </c>
      <c r="L93">
        <f t="shared" si="12"/>
        <v>2.1747363877724725E-2</v>
      </c>
    </row>
    <row r="94" spans="1:12" x14ac:dyDescent="0.2">
      <c r="A94" s="2">
        <v>2</v>
      </c>
      <c r="B94" s="2">
        <v>1</v>
      </c>
      <c r="C94" s="2">
        <v>1</v>
      </c>
      <c r="D94" s="7">
        <v>1</v>
      </c>
      <c r="E94">
        <f t="shared" si="7"/>
        <v>13.833333333333314</v>
      </c>
      <c r="F94">
        <f t="shared" si="8"/>
        <v>0.23055555555555524</v>
      </c>
      <c r="G94">
        <f t="shared" si="9"/>
        <v>1.4829549644044582</v>
      </c>
      <c r="H94">
        <f t="shared" si="10"/>
        <v>2.0746432499737923</v>
      </c>
      <c r="I94">
        <f t="shared" si="11"/>
        <v>67.352104787541023</v>
      </c>
      <c r="J94">
        <f t="shared" si="13"/>
        <v>2.2017945379470594</v>
      </c>
      <c r="L94">
        <f t="shared" si="12"/>
        <v>2.2017945379470594E-2</v>
      </c>
    </row>
    <row r="95" spans="1:12" x14ac:dyDescent="0.2">
      <c r="A95" s="2">
        <v>2</v>
      </c>
      <c r="B95" s="2">
        <v>1</v>
      </c>
      <c r="C95" s="2">
        <v>1</v>
      </c>
      <c r="D95" s="7">
        <v>1</v>
      </c>
      <c r="E95">
        <f t="shared" si="7"/>
        <v>13.99999999999998</v>
      </c>
      <c r="F95">
        <f t="shared" si="8"/>
        <v>0.233333333333333</v>
      </c>
      <c r="G95">
        <f t="shared" si="9"/>
        <v>1.5006602746356106</v>
      </c>
      <c r="H95">
        <f t="shared" si="10"/>
        <v>2.0746432499737923</v>
      </c>
      <c r="I95">
        <f t="shared" si="11"/>
        <v>67.352104787541023</v>
      </c>
      <c r="J95">
        <f t="shared" si="13"/>
        <v>2.2280822245561165</v>
      </c>
      <c r="L95">
        <f t="shared" si="12"/>
        <v>2.2280822245561164E-2</v>
      </c>
    </row>
    <row r="96" spans="1:12" x14ac:dyDescent="0.2">
      <c r="A96" s="2">
        <v>2</v>
      </c>
      <c r="B96" s="2">
        <v>1</v>
      </c>
      <c r="C96" s="2">
        <v>1</v>
      </c>
      <c r="D96" s="7">
        <v>1</v>
      </c>
      <c r="E96">
        <f t="shared" si="7"/>
        <v>14.166666666666647</v>
      </c>
      <c r="F96">
        <f t="shared" si="8"/>
        <v>0.23611111111111077</v>
      </c>
      <c r="G96">
        <f t="shared" si="9"/>
        <v>1.5178614374523427</v>
      </c>
      <c r="H96">
        <f t="shared" si="10"/>
        <v>2.0746432499737923</v>
      </c>
      <c r="I96">
        <f t="shared" si="11"/>
        <v>67.352104787541023</v>
      </c>
      <c r="J96">
        <f t="shared" si="13"/>
        <v>2.253621386058184</v>
      </c>
      <c r="L96">
        <f t="shared" si="12"/>
        <v>2.2536213860581841E-2</v>
      </c>
    </row>
    <row r="97" spans="1:12" x14ac:dyDescent="0.2">
      <c r="A97" s="2">
        <v>2</v>
      </c>
      <c r="B97" s="2">
        <v>1</v>
      </c>
      <c r="C97" s="2">
        <v>1</v>
      </c>
      <c r="D97" s="7">
        <v>1</v>
      </c>
      <c r="E97">
        <f t="shared" si="7"/>
        <v>14.333333333333313</v>
      </c>
      <c r="F97">
        <f t="shared" si="8"/>
        <v>0.23888888888888854</v>
      </c>
      <c r="G97">
        <f t="shared" si="9"/>
        <v>1.5345728081306789</v>
      </c>
      <c r="H97">
        <f t="shared" si="10"/>
        <v>2.0746432499737923</v>
      </c>
      <c r="I97">
        <f t="shared" si="11"/>
        <v>67.352104787541023</v>
      </c>
      <c r="J97">
        <f t="shared" si="13"/>
        <v>2.2784333362281921</v>
      </c>
      <c r="L97">
        <f t="shared" si="12"/>
        <v>2.278433336228192E-2</v>
      </c>
    </row>
    <row r="98" spans="1:12" x14ac:dyDescent="0.2">
      <c r="A98" s="2">
        <v>2</v>
      </c>
      <c r="B98" s="2">
        <v>1</v>
      </c>
      <c r="C98" s="2">
        <v>1</v>
      </c>
      <c r="D98" s="7">
        <v>1</v>
      </c>
      <c r="E98">
        <f t="shared" si="7"/>
        <v>14.499999999999979</v>
      </c>
      <c r="F98">
        <f t="shared" si="8"/>
        <v>0.24166666666666631</v>
      </c>
      <c r="G98">
        <f t="shared" si="9"/>
        <v>1.5508083331893163</v>
      </c>
      <c r="H98">
        <f t="shared" si="10"/>
        <v>2.0746432499737923</v>
      </c>
      <c r="I98">
        <f t="shared" si="11"/>
        <v>67.352104787541023</v>
      </c>
      <c r="J98">
        <f t="shared" si="13"/>
        <v>2.3025387819449246</v>
      </c>
      <c r="L98">
        <f t="shared" si="12"/>
        <v>2.3025387819449246E-2</v>
      </c>
    </row>
    <row r="99" spans="1:12" x14ac:dyDescent="0.2">
      <c r="A99" s="2">
        <v>2</v>
      </c>
      <c r="B99" s="2">
        <v>1</v>
      </c>
      <c r="C99" s="2">
        <v>1</v>
      </c>
      <c r="D99" s="7">
        <v>1</v>
      </c>
      <c r="E99">
        <f t="shared" si="7"/>
        <v>14.666666666666645</v>
      </c>
      <c r="F99">
        <f t="shared" si="8"/>
        <v>0.24444444444444408</v>
      </c>
      <c r="G99">
        <f t="shared" si="9"/>
        <v>1.5665815620287289</v>
      </c>
      <c r="H99">
        <f t="shared" si="10"/>
        <v>2.0746432499737923</v>
      </c>
      <c r="I99">
        <f t="shared" si="11"/>
        <v>67.352104787541023</v>
      </c>
      <c r="J99">
        <f t="shared" si="13"/>
        <v>2.3259578404720016</v>
      </c>
      <c r="L99">
        <f t="shared" si="12"/>
        <v>2.3259578404720017E-2</v>
      </c>
    </row>
    <row r="100" spans="1:12" x14ac:dyDescent="0.2">
      <c r="A100" s="2">
        <v>2</v>
      </c>
      <c r="B100" s="2">
        <v>1</v>
      </c>
      <c r="C100" s="2">
        <v>1</v>
      </c>
      <c r="D100" s="7">
        <v>1</v>
      </c>
      <c r="E100">
        <f t="shared" si="7"/>
        <v>14.833333333333311</v>
      </c>
      <c r="F100">
        <f t="shared" si="8"/>
        <v>0.24722222222222184</v>
      </c>
      <c r="G100">
        <f t="shared" si="9"/>
        <v>1.5819056582388549</v>
      </c>
      <c r="H100">
        <f t="shared" si="10"/>
        <v>2.0746432499737923</v>
      </c>
      <c r="I100">
        <f t="shared" si="11"/>
        <v>67.352104787541023</v>
      </c>
      <c r="J100">
        <f t="shared" si="13"/>
        <v>2.3487100562467949</v>
      </c>
      <c r="L100">
        <f t="shared" si="12"/>
        <v>2.3487100562467948E-2</v>
      </c>
    </row>
    <row r="101" spans="1:12" x14ac:dyDescent="0.2">
      <c r="A101" s="2">
        <v>2</v>
      </c>
      <c r="B101" s="2">
        <v>2</v>
      </c>
      <c r="C101" s="2">
        <v>1</v>
      </c>
      <c r="D101" s="7">
        <v>2</v>
      </c>
      <c r="E101">
        <f t="shared" si="7"/>
        <v>14.999999999999977</v>
      </c>
      <c r="F101">
        <f t="shared" si="8"/>
        <v>0.24999999999999961</v>
      </c>
      <c r="G101">
        <f t="shared" si="9"/>
        <v>1.6567249174341216</v>
      </c>
      <c r="H101">
        <f t="shared" si="10"/>
        <v>4.1492864999475847</v>
      </c>
      <c r="I101">
        <f t="shared" si="11"/>
        <v>67.352104787541023</v>
      </c>
      <c r="J101">
        <f t="shared" si="13"/>
        <v>2.4597967987194771</v>
      </c>
      <c r="L101">
        <f t="shared" si="12"/>
        <v>2.4597967987194772E-2</v>
      </c>
    </row>
    <row r="102" spans="1:12" x14ac:dyDescent="0.2">
      <c r="A102" s="2">
        <v>2</v>
      </c>
      <c r="B102" s="2">
        <v>2</v>
      </c>
      <c r="C102" s="2">
        <v>1</v>
      </c>
      <c r="D102" s="7">
        <v>2</v>
      </c>
      <c r="E102">
        <f t="shared" si="7"/>
        <v>15.166666666666643</v>
      </c>
      <c r="F102">
        <f t="shared" si="8"/>
        <v>0.25277777777777738</v>
      </c>
      <c r="G102">
        <f t="shared" si="9"/>
        <v>1.7294137459518302</v>
      </c>
      <c r="H102">
        <f t="shared" si="10"/>
        <v>4.1492864999475847</v>
      </c>
      <c r="I102">
        <f t="shared" si="11"/>
        <v>67.352104787541023</v>
      </c>
      <c r="J102">
        <f t="shared" si="13"/>
        <v>2.5677204170637022</v>
      </c>
      <c r="L102">
        <f t="shared" si="12"/>
        <v>2.5677204170637024E-2</v>
      </c>
    </row>
    <row r="103" spans="1:12" x14ac:dyDescent="0.2">
      <c r="A103" s="2">
        <v>2</v>
      </c>
      <c r="B103" s="2">
        <v>2</v>
      </c>
      <c r="C103" s="2">
        <v>1</v>
      </c>
      <c r="D103" s="7">
        <v>2</v>
      </c>
      <c r="E103">
        <f t="shared" si="7"/>
        <v>15.333333333333309</v>
      </c>
      <c r="F103">
        <f t="shared" si="8"/>
        <v>0.25555555555555515</v>
      </c>
      <c r="G103">
        <f t="shared" si="9"/>
        <v>1.8000328064464988</v>
      </c>
      <c r="H103">
        <f t="shared" si="10"/>
        <v>4.1492864999475847</v>
      </c>
      <c r="I103">
        <f t="shared" si="11"/>
        <v>67.352104787541023</v>
      </c>
      <c r="J103">
        <f t="shared" si="13"/>
        <v>2.6725709792212369</v>
      </c>
      <c r="L103">
        <f t="shared" si="12"/>
        <v>2.6725709792212369E-2</v>
      </c>
    </row>
    <row r="104" spans="1:12" x14ac:dyDescent="0.2">
      <c r="A104" s="2">
        <v>2</v>
      </c>
      <c r="B104" s="2">
        <v>2</v>
      </c>
      <c r="C104" s="2">
        <v>1</v>
      </c>
      <c r="D104" s="7">
        <v>2</v>
      </c>
      <c r="E104">
        <f t="shared" si="7"/>
        <v>15.499999999999975</v>
      </c>
      <c r="F104">
        <f t="shared" si="8"/>
        <v>0.25833333333333292</v>
      </c>
      <c r="G104">
        <f t="shared" si="9"/>
        <v>1.8686410342422557</v>
      </c>
      <c r="H104">
        <f t="shared" si="10"/>
        <v>4.1492864999475847</v>
      </c>
      <c r="I104">
        <f t="shared" si="11"/>
        <v>67.352104787541023</v>
      </c>
      <c r="J104">
        <f t="shared" si="13"/>
        <v>2.7744359885066605</v>
      </c>
      <c r="L104">
        <f t="shared" si="12"/>
        <v>2.7744359885066606E-2</v>
      </c>
    </row>
    <row r="105" spans="1:12" x14ac:dyDescent="0.2">
      <c r="A105" s="2">
        <v>2</v>
      </c>
      <c r="B105" s="2">
        <v>2</v>
      </c>
      <c r="C105" s="2">
        <v>1</v>
      </c>
      <c r="D105" s="7">
        <v>2</v>
      </c>
      <c r="E105">
        <f t="shared" si="7"/>
        <v>15.666666666666641</v>
      </c>
      <c r="F105">
        <f t="shared" si="8"/>
        <v>0.26111111111111068</v>
      </c>
      <c r="G105">
        <f t="shared" si="9"/>
        <v>1.9352956865174704</v>
      </c>
      <c r="H105">
        <f t="shared" si="10"/>
        <v>4.1492864999475847</v>
      </c>
      <c r="I105">
        <f t="shared" si="11"/>
        <v>67.352104787541023</v>
      </c>
      <c r="J105">
        <f t="shared" si="13"/>
        <v>2.8734004566334899</v>
      </c>
      <c r="L105">
        <f t="shared" si="12"/>
        <v>2.87340045663349E-2</v>
      </c>
    </row>
    <row r="106" spans="1:12" x14ac:dyDescent="0.2">
      <c r="A106" s="2">
        <v>2</v>
      </c>
      <c r="B106" s="2">
        <v>2</v>
      </c>
      <c r="C106" s="2">
        <v>1</v>
      </c>
      <c r="D106" s="7">
        <v>2</v>
      </c>
      <c r="E106">
        <f t="shared" si="7"/>
        <v>15.833333333333307</v>
      </c>
      <c r="F106">
        <f t="shared" si="8"/>
        <v>0.26388888888888845</v>
      </c>
      <c r="G106">
        <f t="shared" si="9"/>
        <v>2.0000523900888831</v>
      </c>
      <c r="H106">
        <f t="shared" si="10"/>
        <v>4.1492864999475847</v>
      </c>
      <c r="I106">
        <f t="shared" si="11"/>
        <v>67.352104787541023</v>
      </c>
      <c r="J106">
        <f t="shared" si="13"/>
        <v>2.9695469746609291</v>
      </c>
      <c r="L106">
        <f t="shared" si="12"/>
        <v>2.969546974660929E-2</v>
      </c>
    </row>
    <row r="107" spans="1:12" x14ac:dyDescent="0.2">
      <c r="A107" s="2">
        <v>2</v>
      </c>
      <c r="B107" s="2">
        <v>2</v>
      </c>
      <c r="C107" s="2">
        <v>1</v>
      </c>
      <c r="D107" s="7">
        <v>2</v>
      </c>
      <c r="E107">
        <f t="shared" si="7"/>
        <v>15.999999999999973</v>
      </c>
      <c r="F107">
        <f t="shared" si="8"/>
        <v>0.26666666666666622</v>
      </c>
      <c r="G107">
        <f t="shared" si="9"/>
        <v>2.0629651878351121</v>
      </c>
      <c r="H107">
        <f t="shared" si="10"/>
        <v>4.1492864999475847</v>
      </c>
      <c r="I107">
        <f t="shared" si="11"/>
        <v>67.352104787541023</v>
      </c>
      <c r="J107">
        <f t="shared" si="13"/>
        <v>3.062955781920456</v>
      </c>
      <c r="L107">
        <f t="shared" si="12"/>
        <v>3.062955781920456E-2</v>
      </c>
    </row>
    <row r="108" spans="1:12" x14ac:dyDescent="0.2">
      <c r="A108" s="2">
        <v>4</v>
      </c>
      <c r="B108" s="2">
        <v>2</v>
      </c>
      <c r="C108" s="2">
        <v>1</v>
      </c>
      <c r="D108" s="7">
        <v>2</v>
      </c>
      <c r="E108">
        <f t="shared" si="7"/>
        <v>16.166666666666639</v>
      </c>
      <c r="F108">
        <f t="shared" si="8"/>
        <v>0.26944444444444399</v>
      </c>
      <c r="G108">
        <f t="shared" si="9"/>
        <v>2.1240865837982814</v>
      </c>
      <c r="H108">
        <f t="shared" si="10"/>
        <v>4.1492864999475847</v>
      </c>
      <c r="I108">
        <f t="shared" si="11"/>
        <v>67.352104787541023</v>
      </c>
      <c r="J108">
        <f t="shared" si="13"/>
        <v>3.1537048329797717</v>
      </c>
      <c r="L108">
        <f t="shared" si="12"/>
        <v>3.1537048329797715E-2</v>
      </c>
    </row>
    <row r="109" spans="1:12" x14ac:dyDescent="0.2">
      <c r="A109" s="2">
        <v>4</v>
      </c>
      <c r="B109" s="2">
        <v>2</v>
      </c>
      <c r="C109" s="2">
        <v>1</v>
      </c>
      <c r="D109" s="7">
        <v>2</v>
      </c>
      <c r="E109">
        <f t="shared" si="7"/>
        <v>16.333333333333304</v>
      </c>
      <c r="F109">
        <f t="shared" si="8"/>
        <v>0.27222222222222175</v>
      </c>
      <c r="G109">
        <f t="shared" si="9"/>
        <v>2.1834675870014091</v>
      </c>
      <c r="H109">
        <f t="shared" si="10"/>
        <v>4.1492864999475847</v>
      </c>
      <c r="I109">
        <f t="shared" si="11"/>
        <v>67.352104787541023</v>
      </c>
      <c r="J109">
        <f t="shared" si="13"/>
        <v>3.2418698626999891</v>
      </c>
      <c r="L109">
        <f t="shared" si="12"/>
        <v>3.2418698626999892E-2</v>
      </c>
    </row>
    <row r="110" spans="1:12" x14ac:dyDescent="0.2">
      <c r="A110" s="2">
        <v>4</v>
      </c>
      <c r="B110" s="2">
        <v>2</v>
      </c>
      <c r="C110" s="2">
        <v>1</v>
      </c>
      <c r="D110" s="7">
        <v>2</v>
      </c>
      <c r="E110">
        <f t="shared" si="7"/>
        <v>16.499999999999972</v>
      </c>
      <c r="F110">
        <f t="shared" si="8"/>
        <v>0.27499999999999952</v>
      </c>
      <c r="G110">
        <f t="shared" si="9"/>
        <v>2.2411577540181216</v>
      </c>
      <c r="H110">
        <f t="shared" si="10"/>
        <v>4.1492864999475847</v>
      </c>
      <c r="I110">
        <f t="shared" si="11"/>
        <v>67.352104787541023</v>
      </c>
      <c r="J110">
        <f t="shared" si="13"/>
        <v>3.327524449440364</v>
      </c>
      <c r="L110">
        <f t="shared" si="12"/>
        <v>3.3275244494403639E-2</v>
      </c>
    </row>
    <row r="111" spans="1:12" x14ac:dyDescent="0.2">
      <c r="A111" s="2">
        <v>4</v>
      </c>
      <c r="B111" s="2">
        <v>2</v>
      </c>
      <c r="C111" s="2">
        <v>1</v>
      </c>
      <c r="D111" s="7">
        <v>2</v>
      </c>
      <c r="E111">
        <f t="shared" si="7"/>
        <v>16.666666666666636</v>
      </c>
      <c r="F111">
        <f t="shared" si="8"/>
        <v>0.27777777777777729</v>
      </c>
      <c r="G111">
        <f t="shared" si="9"/>
        <v>2.2972052303302242</v>
      </c>
      <c r="H111">
        <f t="shared" si="10"/>
        <v>4.1492864999475847</v>
      </c>
      <c r="I111">
        <f t="shared" si="11"/>
        <v>67.352104787541023</v>
      </c>
      <c r="J111">
        <f t="shared" si="13"/>
        <v>3.4107400764633082</v>
      </c>
      <c r="L111">
        <f t="shared" si="12"/>
        <v>3.4107400764633082E-2</v>
      </c>
    </row>
    <row r="112" spans="1:12" x14ac:dyDescent="0.2">
      <c r="A112" s="2">
        <v>4</v>
      </c>
      <c r="B112" s="2">
        <v>2</v>
      </c>
      <c r="C112" s="2">
        <v>1</v>
      </c>
      <c r="D112" s="7">
        <v>2</v>
      </c>
      <c r="E112">
        <f t="shared" si="7"/>
        <v>16.833333333333304</v>
      </c>
      <c r="F112">
        <f t="shared" si="8"/>
        <v>0.28055555555555506</v>
      </c>
      <c r="G112">
        <f t="shared" si="9"/>
        <v>2.3516567905076404</v>
      </c>
      <c r="H112">
        <f t="shared" si="10"/>
        <v>4.1492864999475847</v>
      </c>
      <c r="I112">
        <f t="shared" si="11"/>
        <v>67.352104787541023</v>
      </c>
      <c r="J112">
        <f t="shared" si="13"/>
        <v>3.4915861915909363</v>
      </c>
      <c r="L112">
        <f t="shared" si="12"/>
        <v>3.4915861915909362E-2</v>
      </c>
    </row>
    <row r="113" spans="1:12" x14ac:dyDescent="0.2">
      <c r="A113" s="2">
        <v>4</v>
      </c>
      <c r="B113" s="2">
        <v>2</v>
      </c>
      <c r="C113" s="2">
        <v>1</v>
      </c>
      <c r="D113" s="7">
        <v>2</v>
      </c>
      <c r="E113">
        <f t="shared" si="7"/>
        <v>16.999999999999968</v>
      </c>
      <c r="F113">
        <f t="shared" si="8"/>
        <v>0.28333333333333283</v>
      </c>
      <c r="G113">
        <f t="shared" si="9"/>
        <v>2.4045578772442529</v>
      </c>
      <c r="H113">
        <f t="shared" si="10"/>
        <v>4.1492864999475847</v>
      </c>
      <c r="I113">
        <f t="shared" si="11"/>
        <v>67.352104787541023</v>
      </c>
      <c r="J113">
        <f t="shared" si="13"/>
        <v>3.5701302651629305</v>
      </c>
      <c r="L113">
        <f t="shared" si="12"/>
        <v>3.5701302651629303E-2</v>
      </c>
    </row>
    <row r="114" spans="1:12" x14ac:dyDescent="0.2">
      <c r="A114" s="2">
        <v>4</v>
      </c>
      <c r="B114" s="2">
        <v>2</v>
      </c>
      <c r="C114" s="2">
        <v>1</v>
      </c>
      <c r="D114" s="7">
        <v>2</v>
      </c>
      <c r="E114">
        <f t="shared" si="7"/>
        <v>17.166666666666636</v>
      </c>
      <c r="F114">
        <f t="shared" si="8"/>
        <v>0.28611111111111059</v>
      </c>
      <c r="G114">
        <f t="shared" si="9"/>
        <v>2.4559526392822244</v>
      </c>
      <c r="H114">
        <f t="shared" si="10"/>
        <v>4.1492864999475847</v>
      </c>
      <c r="I114">
        <f t="shared" si="11"/>
        <v>67.352104787541023</v>
      </c>
      <c r="J114">
        <f t="shared" si="13"/>
        <v>3.6464378463440883</v>
      </c>
      <c r="L114">
        <f t="shared" si="12"/>
        <v>3.6464378463440882E-2</v>
      </c>
    </row>
    <row r="115" spans="1:12" x14ac:dyDescent="0.2">
      <c r="A115" s="2">
        <v>4</v>
      </c>
      <c r="B115" s="2">
        <v>2</v>
      </c>
      <c r="C115" s="2">
        <v>1</v>
      </c>
      <c r="D115" s="7">
        <v>2</v>
      </c>
      <c r="E115">
        <f t="shared" si="7"/>
        <v>17.3333333333333</v>
      </c>
      <c r="F115">
        <f t="shared" si="8"/>
        <v>0.28888888888888836</v>
      </c>
      <c r="G115">
        <f t="shared" si="9"/>
        <v>2.5058839682564473</v>
      </c>
      <c r="H115">
        <f t="shared" si="10"/>
        <v>4.1492864999475847</v>
      </c>
      <c r="I115">
        <f t="shared" si="11"/>
        <v>67.352104787541023</v>
      </c>
      <c r="J115">
        <f t="shared" si="13"/>
        <v>3.7205726178285561</v>
      </c>
      <c r="L115">
        <f t="shared" si="12"/>
        <v>3.7205726178285561E-2</v>
      </c>
    </row>
    <row r="116" spans="1:12" x14ac:dyDescent="0.2">
      <c r="A116" s="2">
        <v>4</v>
      </c>
      <c r="B116" s="2">
        <v>2</v>
      </c>
      <c r="C116" s="2">
        <v>1</v>
      </c>
      <c r="D116" s="7">
        <v>2</v>
      </c>
      <c r="E116">
        <f t="shared" si="7"/>
        <v>17.499999999999968</v>
      </c>
      <c r="F116">
        <f t="shared" si="8"/>
        <v>0.29166666666666613</v>
      </c>
      <c r="G116">
        <f t="shared" si="9"/>
        <v>2.5543935344898725</v>
      </c>
      <c r="H116">
        <f t="shared" si="10"/>
        <v>4.1492864999475847</v>
      </c>
      <c r="I116">
        <f t="shared" si="11"/>
        <v>67.352104787541023</v>
      </c>
      <c r="J116">
        <f t="shared" si="13"/>
        <v>3.792596448986389</v>
      </c>
      <c r="L116">
        <f t="shared" si="12"/>
        <v>3.7925964489863892E-2</v>
      </c>
    </row>
    <row r="117" spans="1:12" x14ac:dyDescent="0.2">
      <c r="A117" s="2">
        <v>4</v>
      </c>
      <c r="B117" s="2">
        <v>2</v>
      </c>
      <c r="C117" s="2">
        <v>1</v>
      </c>
      <c r="D117" s="7">
        <v>2</v>
      </c>
      <c r="E117">
        <f t="shared" si="7"/>
        <v>17.666666666666632</v>
      </c>
      <c r="F117">
        <f t="shared" si="8"/>
        <v>0.2944444444444439</v>
      </c>
      <c r="G117">
        <f t="shared" si="9"/>
        <v>2.6015218217695857</v>
      </c>
      <c r="H117">
        <f t="shared" si="10"/>
        <v>4.1492864999475847</v>
      </c>
      <c r="I117">
        <f t="shared" si="11"/>
        <v>67.352104787541023</v>
      </c>
      <c r="J117">
        <f t="shared" si="13"/>
        <v>3.8625694474967949</v>
      </c>
      <c r="L117">
        <f t="shared" si="12"/>
        <v>3.8625694474967949E-2</v>
      </c>
    </row>
    <row r="118" spans="1:12" x14ac:dyDescent="0.2">
      <c r="A118" s="2">
        <v>4</v>
      </c>
      <c r="B118" s="2">
        <v>2</v>
      </c>
      <c r="C118" s="2">
        <v>1</v>
      </c>
      <c r="D118" s="7">
        <v>2</v>
      </c>
      <c r="E118">
        <f t="shared" si="7"/>
        <v>17.8333333333333</v>
      </c>
      <c r="F118">
        <f t="shared" si="8"/>
        <v>0.29722222222222167</v>
      </c>
      <c r="G118">
        <f t="shared" si="9"/>
        <v>2.6473081611326612</v>
      </c>
      <c r="H118">
        <f t="shared" si="10"/>
        <v>4.1492864999475847</v>
      </c>
      <c r="I118">
        <f t="shared" si="11"/>
        <v>67.352104787541023</v>
      </c>
      <c r="J118">
        <f t="shared" si="13"/>
        <v>3.9305500095111614</v>
      </c>
      <c r="L118">
        <f t="shared" si="12"/>
        <v>3.9305500095111613E-2</v>
      </c>
    </row>
    <row r="119" spans="1:12" x14ac:dyDescent="0.2">
      <c r="A119" s="2">
        <v>4</v>
      </c>
      <c r="B119" s="2">
        <v>2</v>
      </c>
      <c r="C119" s="2">
        <v>1</v>
      </c>
      <c r="D119" s="7">
        <v>2</v>
      </c>
      <c r="E119">
        <f t="shared" si="7"/>
        <v>17.999999999999964</v>
      </c>
      <c r="F119">
        <f t="shared" si="8"/>
        <v>0.29999999999999943</v>
      </c>
      <c r="G119">
        <f t="shared" si="9"/>
        <v>2.6917907636899816</v>
      </c>
      <c r="H119">
        <f t="shared" si="10"/>
        <v>4.1492864999475847</v>
      </c>
      <c r="I119">
        <f t="shared" si="11"/>
        <v>67.352104787541023</v>
      </c>
      <c r="J119">
        <f t="shared" si="13"/>
        <v>3.9965948683877159</v>
      </c>
      <c r="L119">
        <f t="shared" si="12"/>
        <v>3.9965948683877157E-2</v>
      </c>
    </row>
    <row r="120" spans="1:12" x14ac:dyDescent="0.2">
      <c r="A120" s="2">
        <v>4</v>
      </c>
      <c r="B120" s="2">
        <v>2</v>
      </c>
      <c r="C120" s="2">
        <v>1</v>
      </c>
      <c r="D120" s="7">
        <v>2</v>
      </c>
      <c r="E120">
        <f t="shared" si="7"/>
        <v>18.166666666666632</v>
      </c>
      <c r="F120">
        <f t="shared" si="8"/>
        <v>0.3027777777777772</v>
      </c>
      <c r="G120">
        <f t="shared" si="9"/>
        <v>2.7350067525154227</v>
      </c>
      <c r="H120">
        <f t="shared" si="10"/>
        <v>4.1492864999475847</v>
      </c>
      <c r="I120">
        <f t="shared" si="11"/>
        <v>67.352104787541023</v>
      </c>
      <c r="J120">
        <f t="shared" si="13"/>
        <v>4.0607591420385001</v>
      </c>
      <c r="L120">
        <f t="shared" si="12"/>
        <v>4.0607591420385003E-2</v>
      </c>
    </row>
    <row r="121" spans="1:12" x14ac:dyDescent="0.2">
      <c r="A121" s="2">
        <v>4</v>
      </c>
      <c r="B121" s="2">
        <v>2</v>
      </c>
      <c r="C121" s="2">
        <v>1</v>
      </c>
      <c r="D121" s="7">
        <v>2</v>
      </c>
      <c r="E121">
        <f t="shared" si="7"/>
        <v>18.333333333333297</v>
      </c>
      <c r="F121">
        <f t="shared" si="8"/>
        <v>0.30555555555555497</v>
      </c>
      <c r="G121">
        <f t="shared" si="9"/>
        <v>2.7769921936270134</v>
      </c>
      <c r="H121">
        <f t="shared" si="10"/>
        <v>4.1492864999475847</v>
      </c>
      <c r="I121">
        <f t="shared" si="11"/>
        <v>67.352104787541023</v>
      </c>
      <c r="J121">
        <f t="shared" si="13"/>
        <v>4.1230963789281736</v>
      </c>
      <c r="L121">
        <f t="shared" si="12"/>
        <v>4.1230963789281733E-2</v>
      </c>
    </row>
    <row r="122" spans="1:12" x14ac:dyDescent="0.2">
      <c r="A122" s="2">
        <v>4</v>
      </c>
      <c r="B122" s="2">
        <v>2</v>
      </c>
      <c r="C122" s="2">
        <v>1</v>
      </c>
      <c r="D122" s="7">
        <v>2</v>
      </c>
      <c r="E122">
        <f t="shared" si="7"/>
        <v>18.499999999999964</v>
      </c>
      <c r="F122">
        <f t="shared" si="8"/>
        <v>0.30833333333333274</v>
      </c>
      <c r="G122">
        <f t="shared" si="9"/>
        <v>2.8177821260859255</v>
      </c>
      <c r="H122">
        <f t="shared" si="10"/>
        <v>4.1492864999475847</v>
      </c>
      <c r="I122">
        <f t="shared" si="11"/>
        <v>67.352104787541023</v>
      </c>
      <c r="J122">
        <f t="shared" si="13"/>
        <v>4.1836586027630229</v>
      </c>
      <c r="L122">
        <f t="shared" si="12"/>
        <v>4.1836586027630226E-2</v>
      </c>
    </row>
    <row r="123" spans="1:12" x14ac:dyDescent="0.2">
      <c r="A123" s="2">
        <v>4</v>
      </c>
      <c r="B123" s="2">
        <v>2</v>
      </c>
      <c r="C123" s="2">
        <v>1</v>
      </c>
      <c r="D123" s="7">
        <v>2</v>
      </c>
      <c r="E123">
        <f t="shared" si="7"/>
        <v>18.666666666666629</v>
      </c>
      <c r="F123">
        <f t="shared" si="8"/>
        <v>0.31111111111111051</v>
      </c>
      <c r="G123">
        <f t="shared" si="9"/>
        <v>2.8574105912384158</v>
      </c>
      <c r="H123">
        <f t="shared" si="10"/>
        <v>4.1492864999475847</v>
      </c>
      <c r="I123">
        <f t="shared" si="11"/>
        <v>67.352104787541023</v>
      </c>
      <c r="J123">
        <f t="shared" si="13"/>
        <v>4.2424963559074813</v>
      </c>
      <c r="L123">
        <f t="shared" si="12"/>
        <v>4.242496355907481E-2</v>
      </c>
    </row>
    <row r="124" spans="1:12" x14ac:dyDescent="0.2">
      <c r="A124" s="2">
        <v>4</v>
      </c>
      <c r="B124" s="2">
        <v>2</v>
      </c>
      <c r="C124" s="2">
        <v>1</v>
      </c>
      <c r="D124" s="7">
        <v>2</v>
      </c>
      <c r="E124">
        <f t="shared" si="7"/>
        <v>18.833333333333297</v>
      </c>
      <c r="F124">
        <f t="shared" si="8"/>
        <v>0.31388888888888827</v>
      </c>
      <c r="G124">
        <f t="shared" si="9"/>
        <v>2.895910661125122</v>
      </c>
      <c r="H124">
        <f t="shared" si="10"/>
        <v>4.1492864999475847</v>
      </c>
      <c r="I124">
        <f t="shared" si="11"/>
        <v>67.352104787541023</v>
      </c>
      <c r="J124">
        <f t="shared" si="13"/>
        <v>4.2996587415643992</v>
      </c>
      <c r="L124">
        <f t="shared" si="12"/>
        <v>4.2996587415643994E-2</v>
      </c>
    </row>
    <row r="125" spans="1:12" x14ac:dyDescent="0.2">
      <c r="A125" s="2">
        <v>4</v>
      </c>
      <c r="B125" s="2">
        <v>2</v>
      </c>
      <c r="C125" s="2">
        <v>1</v>
      </c>
      <c r="D125" s="7">
        <v>2</v>
      </c>
      <c r="E125">
        <f t="shared" si="7"/>
        <v>18.999999999999961</v>
      </c>
      <c r="F125">
        <f t="shared" si="8"/>
        <v>0.31666666666666604</v>
      </c>
      <c r="G125">
        <f t="shared" si="9"/>
        <v>2.9333144660814212</v>
      </c>
      <c r="H125">
        <f t="shared" si="10"/>
        <v>4.1492864999475847</v>
      </c>
      <c r="I125">
        <f t="shared" si="11"/>
        <v>67.352104787541023</v>
      </c>
      <c r="J125">
        <f t="shared" si="13"/>
        <v>4.355193464754251</v>
      </c>
      <c r="L125">
        <f t="shared" si="12"/>
        <v>4.3551934647542506E-2</v>
      </c>
    </row>
    <row r="126" spans="1:12" x14ac:dyDescent="0.2">
      <c r="A126" s="2">
        <v>8</v>
      </c>
      <c r="B126" s="2">
        <v>2</v>
      </c>
      <c r="C126" s="2">
        <v>1</v>
      </c>
      <c r="D126" s="7">
        <v>2</v>
      </c>
      <c r="E126">
        <f t="shared" si="7"/>
        <v>19.166666666666629</v>
      </c>
      <c r="F126">
        <f t="shared" si="8"/>
        <v>0.31944444444444381</v>
      </c>
      <c r="G126">
        <f t="shared" si="9"/>
        <v>2.9696532215518876</v>
      </c>
      <c r="H126">
        <f t="shared" si="10"/>
        <v>4.1492864999475847</v>
      </c>
      <c r="I126">
        <f t="shared" si="11"/>
        <v>67.352104787541023</v>
      </c>
      <c r="J126">
        <f t="shared" si="13"/>
        <v>4.4091468721274802</v>
      </c>
      <c r="L126">
        <f t="shared" si="12"/>
        <v>4.4091468721274805E-2</v>
      </c>
    </row>
    <row r="127" spans="1:12" x14ac:dyDescent="0.2">
      <c r="A127" s="2">
        <v>8</v>
      </c>
      <c r="B127" s="2">
        <v>2</v>
      </c>
      <c r="C127" s="2">
        <v>1</v>
      </c>
      <c r="D127" s="7">
        <v>2</v>
      </c>
      <c r="E127">
        <f t="shared" si="7"/>
        <v>19.333333333333293</v>
      </c>
      <c r="F127">
        <f t="shared" si="8"/>
        <v>0.32222222222222158</v>
      </c>
      <c r="G127">
        <f t="shared" si="9"/>
        <v>3.0049572541412237</v>
      </c>
      <c r="H127">
        <f t="shared" si="10"/>
        <v>4.1492864999475847</v>
      </c>
      <c r="I127">
        <f t="shared" si="11"/>
        <v>67.352104787541023</v>
      </c>
      <c r="J127">
        <f t="shared" si="13"/>
        <v>4.4615639906432278</v>
      </c>
      <c r="L127">
        <f t="shared" si="12"/>
        <v>4.4615639906432275E-2</v>
      </c>
    </row>
    <row r="128" spans="1:12" x14ac:dyDescent="0.2">
      <c r="A128" s="2">
        <v>8</v>
      </c>
      <c r="B128" s="2">
        <v>2</v>
      </c>
      <c r="C128" s="2">
        <v>1</v>
      </c>
      <c r="D128" s="7">
        <v>2</v>
      </c>
      <c r="E128">
        <f t="shared" si="7"/>
        <v>19.499999999999961</v>
      </c>
      <c r="F128">
        <f t="shared" si="8"/>
        <v>0.32499999999999934</v>
      </c>
      <c r="G128">
        <f t="shared" si="9"/>
        <v>3.0392560269234083</v>
      </c>
      <c r="H128">
        <f t="shared" si="10"/>
        <v>4.1492864999475847</v>
      </c>
      <c r="I128">
        <f t="shared" si="11"/>
        <v>67.352104787541023</v>
      </c>
      <c r="J128">
        <f t="shared" si="13"/>
        <v>4.5124885651466951</v>
      </c>
      <c r="L128">
        <f t="shared" si="12"/>
        <v>4.5124885651466953E-2</v>
      </c>
    </row>
    <row r="129" spans="1:12" x14ac:dyDescent="0.2">
      <c r="A129" s="2">
        <v>8</v>
      </c>
      <c r="B129" s="2">
        <v>2</v>
      </c>
      <c r="C129" s="2">
        <v>1</v>
      </c>
      <c r="D129" s="7">
        <v>2</v>
      </c>
      <c r="E129">
        <f t="shared" si="7"/>
        <v>19.666666666666625</v>
      </c>
      <c r="F129">
        <f t="shared" si="8"/>
        <v>0.32777777777777711</v>
      </c>
      <c r="G129">
        <f t="shared" si="9"/>
        <v>3.0725781640301841</v>
      </c>
      <c r="H129">
        <f t="shared" si="10"/>
        <v>4.1492864999475847</v>
      </c>
      <c r="I129">
        <f t="shared" si="11"/>
        <v>67.352104787541023</v>
      </c>
      <c r="J129">
        <f t="shared" si="13"/>
        <v>4.5619630948765213</v>
      </c>
      <c r="L129">
        <f t="shared" si="12"/>
        <v>4.5619630948765214E-2</v>
      </c>
    </row>
    <row r="130" spans="1:12" x14ac:dyDescent="0.2">
      <c r="A130" s="2">
        <v>8</v>
      </c>
      <c r="B130" s="2">
        <v>2</v>
      </c>
      <c r="C130" s="2">
        <v>1</v>
      </c>
      <c r="D130" s="7">
        <v>2</v>
      </c>
      <c r="E130">
        <f t="shared" si="7"/>
        <v>19.833333333333293</v>
      </c>
      <c r="F130">
        <f t="shared" si="8"/>
        <v>0.33055555555555488</v>
      </c>
      <c r="G130">
        <f t="shared" si="9"/>
        <v>3.1049514745394018</v>
      </c>
      <c r="H130">
        <f t="shared" si="10"/>
        <v>4.1492864999475847</v>
      </c>
      <c r="I130">
        <f t="shared" si="11"/>
        <v>67.352104787541023</v>
      </c>
      <c r="J130">
        <f t="shared" si="13"/>
        <v>4.6100288689326367</v>
      </c>
      <c r="L130">
        <f t="shared" si="12"/>
        <v>4.610028868932637E-2</v>
      </c>
    </row>
    <row r="131" spans="1:12" x14ac:dyDescent="0.2">
      <c r="A131" s="2">
        <v>8</v>
      </c>
      <c r="B131" s="2">
        <v>4</v>
      </c>
      <c r="C131" s="2">
        <v>1</v>
      </c>
      <c r="D131" s="7">
        <v>4</v>
      </c>
      <c r="E131">
        <f t="shared" si="7"/>
        <v>19.999999999999957</v>
      </c>
      <c r="F131">
        <f t="shared" si="8"/>
        <v>0.33333333333333265</v>
      </c>
      <c r="G131">
        <f t="shared" si="9"/>
        <v>3.2562659893817893</v>
      </c>
      <c r="H131">
        <f t="shared" si="10"/>
        <v>8.2985729998951694</v>
      </c>
      <c r="I131">
        <f t="shared" si="11"/>
        <v>67.352104787541023</v>
      </c>
      <c r="J131">
        <f t="shared" si="13"/>
        <v>4.8346907637905661</v>
      </c>
      <c r="L131">
        <f t="shared" si="12"/>
        <v>4.834690763790566E-2</v>
      </c>
    </row>
    <row r="132" spans="1:12" x14ac:dyDescent="0.2">
      <c r="A132" s="2">
        <v>8</v>
      </c>
      <c r="B132" s="2">
        <v>4</v>
      </c>
      <c r="C132" s="2">
        <v>2</v>
      </c>
      <c r="D132" s="7">
        <v>4</v>
      </c>
      <c r="E132">
        <f t="shared" si="7"/>
        <v>20.166666666666625</v>
      </c>
      <c r="F132">
        <f t="shared" si="8"/>
        <v>0.33611111111111042</v>
      </c>
      <c r="G132">
        <f t="shared" si="9"/>
        <v>3.4032719199392303</v>
      </c>
      <c r="H132">
        <f t="shared" si="10"/>
        <v>8.2985729998951694</v>
      </c>
      <c r="I132">
        <f t="shared" si="11"/>
        <v>67.352104787541023</v>
      </c>
      <c r="J132">
        <f t="shared" si="13"/>
        <v>5.0529555545067044</v>
      </c>
      <c r="L132">
        <f t="shared" si="12"/>
        <v>5.0529555545067044E-2</v>
      </c>
    </row>
    <row r="133" spans="1:12" x14ac:dyDescent="0.2">
      <c r="A133" s="2">
        <v>8</v>
      </c>
      <c r="B133" s="2">
        <v>4</v>
      </c>
      <c r="C133" s="2">
        <v>2</v>
      </c>
      <c r="D133" s="7">
        <v>4</v>
      </c>
      <c r="E133">
        <f t="shared" si="7"/>
        <v>20.33333333333329</v>
      </c>
      <c r="F133">
        <f t="shared" si="8"/>
        <v>0.33888888888888818</v>
      </c>
      <c r="G133">
        <f t="shared" si="9"/>
        <v>3.5460919504007453</v>
      </c>
      <c r="H133">
        <f t="shared" si="10"/>
        <v>8.2985729998951694</v>
      </c>
      <c r="I133">
        <f t="shared" si="11"/>
        <v>67.352104787541023</v>
      </c>
      <c r="J133">
        <f t="shared" si="13"/>
        <v>5.265005394540708</v>
      </c>
      <c r="L133">
        <f t="shared" si="12"/>
        <v>5.2650053945407081E-2</v>
      </c>
    </row>
    <row r="134" spans="1:12" x14ac:dyDescent="0.2">
      <c r="A134" s="2">
        <v>8</v>
      </c>
      <c r="B134" s="2">
        <v>4</v>
      </c>
      <c r="C134" s="2">
        <v>2</v>
      </c>
      <c r="D134" s="7">
        <v>4</v>
      </c>
      <c r="E134">
        <f t="shared" si="7"/>
        <v>20.499999999999957</v>
      </c>
      <c r="F134">
        <f t="shared" si="8"/>
        <v>0.34166666666666595</v>
      </c>
      <c r="G134">
        <f t="shared" si="9"/>
        <v>3.6848452716013345</v>
      </c>
      <c r="H134">
        <f t="shared" si="10"/>
        <v>8.2985729998951694</v>
      </c>
      <c r="I134">
        <f t="shared" si="11"/>
        <v>67.352104787541023</v>
      </c>
      <c r="J134">
        <f t="shared" si="13"/>
        <v>5.4710172506486643</v>
      </c>
      <c r="L134">
        <f t="shared" si="12"/>
        <v>5.4710172506486646E-2</v>
      </c>
    </row>
    <row r="135" spans="1:12" x14ac:dyDescent="0.2">
      <c r="A135" s="2">
        <v>8</v>
      </c>
      <c r="B135" s="2">
        <v>4</v>
      </c>
      <c r="C135" s="2">
        <v>2</v>
      </c>
      <c r="D135" s="7">
        <v>4</v>
      </c>
      <c r="E135">
        <f t="shared" si="7"/>
        <v>20.666666666666622</v>
      </c>
      <c r="F135">
        <f t="shared" si="8"/>
        <v>0.34444444444444372</v>
      </c>
      <c r="G135">
        <f t="shared" si="9"/>
        <v>3.819647680493004</v>
      </c>
      <c r="H135">
        <f t="shared" si="10"/>
        <v>8.2985729998951694</v>
      </c>
      <c r="I135">
        <f t="shared" si="11"/>
        <v>67.352104787541023</v>
      </c>
      <c r="J135">
        <f t="shared" si="13"/>
        <v>5.6711630505711721</v>
      </c>
      <c r="L135">
        <f t="shared" si="12"/>
        <v>5.6711630505711721E-2</v>
      </c>
    </row>
    <row r="136" spans="1:12" x14ac:dyDescent="0.2">
      <c r="A136" s="2">
        <v>8</v>
      </c>
      <c r="B136" s="2">
        <v>4</v>
      </c>
      <c r="C136" s="2">
        <v>2</v>
      </c>
      <c r="D136" s="7">
        <v>4</v>
      </c>
      <c r="E136">
        <f t="shared" si="7"/>
        <v>20.83333333333329</v>
      </c>
      <c r="F136">
        <f t="shared" si="8"/>
        <v>0.34722222222222149</v>
      </c>
      <c r="G136">
        <f t="shared" si="9"/>
        <v>3.9506116767834198</v>
      </c>
      <c r="H136">
        <f t="shared" si="10"/>
        <v>8.2985729998951694</v>
      </c>
      <c r="I136">
        <f t="shared" si="11"/>
        <v>67.352104787541023</v>
      </c>
      <c r="J136">
        <f t="shared" si="13"/>
        <v>5.8656098265160894</v>
      </c>
      <c r="L136">
        <f t="shared" si="12"/>
        <v>5.8656098265160897E-2</v>
      </c>
    </row>
    <row r="137" spans="1:12" x14ac:dyDescent="0.2">
      <c r="A137" s="2">
        <v>8</v>
      </c>
      <c r="B137" s="2">
        <v>4</v>
      </c>
      <c r="C137" s="2">
        <v>2</v>
      </c>
      <c r="D137" s="7">
        <v>4</v>
      </c>
      <c r="E137">
        <f t="shared" si="7"/>
        <v>20.999999999999954</v>
      </c>
      <c r="F137">
        <f t="shared" si="8"/>
        <v>0.34999999999999926</v>
      </c>
      <c r="G137">
        <f t="shared" si="9"/>
        <v>4.0778465568228377</v>
      </c>
      <c r="H137">
        <f t="shared" si="10"/>
        <v>8.2985729998951694</v>
      </c>
      <c r="I137">
        <f t="shared" si="11"/>
        <v>67.352104787541023</v>
      </c>
      <c r="J137">
        <f t="shared" si="13"/>
        <v>6.0545198545557097</v>
      </c>
      <c r="L137">
        <f t="shared" si="12"/>
        <v>6.0545198545557094E-2</v>
      </c>
    </row>
    <row r="138" spans="1:12" x14ac:dyDescent="0.2">
      <c r="A138" s="2">
        <v>8</v>
      </c>
      <c r="B138" s="2">
        <v>4</v>
      </c>
      <c r="C138" s="2">
        <v>2</v>
      </c>
      <c r="D138" s="7">
        <v>4</v>
      </c>
      <c r="E138">
        <f t="shared" si="7"/>
        <v>21.166666666666622</v>
      </c>
      <c r="F138">
        <f t="shared" si="8"/>
        <v>0.35277777777777702</v>
      </c>
      <c r="G138">
        <f t="shared" si="9"/>
        <v>4.2014585048176594</v>
      </c>
      <c r="H138">
        <f t="shared" si="10"/>
        <v>8.2985729998951694</v>
      </c>
      <c r="I138">
        <f t="shared" si="11"/>
        <v>67.352104787541023</v>
      </c>
      <c r="J138">
        <f t="shared" si="13"/>
        <v>6.2380507900546815</v>
      </c>
      <c r="L138">
        <f t="shared" si="12"/>
        <v>6.2380507900546812E-2</v>
      </c>
    </row>
    <row r="139" spans="1:12" x14ac:dyDescent="0.2">
      <c r="A139" s="2">
        <v>8</v>
      </c>
      <c r="B139" s="2">
        <v>4</v>
      </c>
      <c r="C139" s="2">
        <v>2</v>
      </c>
      <c r="D139" s="7">
        <v>4</v>
      </c>
      <c r="E139">
        <f t="shared" si="7"/>
        <v>21.333333333333286</v>
      </c>
      <c r="F139">
        <f t="shared" si="8"/>
        <v>0.35555555555555479</v>
      </c>
      <c r="G139">
        <f t="shared" si="9"/>
        <v>4.3215506814467481</v>
      </c>
      <c r="H139">
        <f t="shared" si="10"/>
        <v>8.2985729998951694</v>
      </c>
      <c r="I139">
        <f t="shared" si="11"/>
        <v>67.352104787541023</v>
      </c>
      <c r="J139">
        <f t="shared" si="13"/>
        <v>6.4163557992417202</v>
      </c>
      <c r="L139">
        <f t="shared" si="12"/>
        <v>6.41635579924172E-2</v>
      </c>
    </row>
    <row r="140" spans="1:12" x14ac:dyDescent="0.2">
      <c r="A140" s="2">
        <v>8</v>
      </c>
      <c r="B140" s="2">
        <v>4</v>
      </c>
      <c r="C140" s="2">
        <v>2</v>
      </c>
      <c r="D140" s="7">
        <v>4</v>
      </c>
      <c r="E140">
        <f t="shared" ref="E140:E203" si="14">F140*60</f>
        <v>21.499999999999954</v>
      </c>
      <c r="F140">
        <f t="shared" ref="F140:F203" si="15">Tsamp+F139</f>
        <v>0.35833333333333256</v>
      </c>
      <c r="G140">
        <f t="shared" ref="G140:G203" si="16">Tsamp*$D140*G$3/G$5+G$8*G139</f>
        <v>4.4382233099544415</v>
      </c>
      <c r="H140">
        <f t="shared" ref="H140:H203" si="17">$D140*$G$3/$G$6</f>
        <v>8.2985729998951694</v>
      </c>
      <c r="I140">
        <f t="shared" ref="I140:I203" si="18">Tsamp*32*$G$3/($G$5*(1-$G$8))</f>
        <v>67.352104787541023</v>
      </c>
      <c r="J140">
        <f t="shared" si="13"/>
        <v>6.589583687034879</v>
      </c>
      <c r="L140">
        <f t="shared" ref="L140:L203" si="19">$J140/100</f>
        <v>6.5895836870348792E-2</v>
      </c>
    </row>
    <row r="141" spans="1:12" x14ac:dyDescent="0.2">
      <c r="A141" s="2">
        <v>8</v>
      </c>
      <c r="B141" s="2">
        <v>4</v>
      </c>
      <c r="C141" s="2">
        <v>2</v>
      </c>
      <c r="D141" s="7">
        <v>4</v>
      </c>
      <c r="E141">
        <f t="shared" si="14"/>
        <v>21.666666666666618</v>
      </c>
      <c r="F141">
        <f t="shared" si="15"/>
        <v>0.36111111111111033</v>
      </c>
      <c r="G141">
        <f t="shared" si="16"/>
        <v>4.5515737597921291</v>
      </c>
      <c r="H141">
        <f t="shared" si="17"/>
        <v>8.2985729998951694</v>
      </c>
      <c r="I141">
        <f t="shared" si="18"/>
        <v>67.352104787541023</v>
      </c>
      <c r="J141">
        <f t="shared" ref="J141:J204" si="20">$G141/$I141*100</f>
        <v>6.7578790212271018</v>
      </c>
      <c r="L141">
        <f t="shared" si="19"/>
        <v>6.757879021227102E-2</v>
      </c>
    </row>
    <row r="142" spans="1:12" x14ac:dyDescent="0.2">
      <c r="A142" s="2">
        <v>8</v>
      </c>
      <c r="B142" s="2">
        <v>4</v>
      </c>
      <c r="C142" s="2">
        <v>2</v>
      </c>
      <c r="D142" s="7">
        <v>4</v>
      </c>
      <c r="E142">
        <f t="shared" si="14"/>
        <v>21.833333333333286</v>
      </c>
      <c r="F142">
        <f t="shared" si="15"/>
        <v>0.3638888888888881</v>
      </c>
      <c r="G142">
        <f t="shared" si="16"/>
        <v>4.6616966278781851</v>
      </c>
      <c r="H142">
        <f t="shared" si="17"/>
        <v>8.2985729998951694</v>
      </c>
      <c r="I142">
        <f t="shared" si="18"/>
        <v>67.352104787541023</v>
      </c>
      <c r="J142">
        <f t="shared" si="20"/>
        <v>6.9213822531356408</v>
      </c>
      <c r="L142">
        <f t="shared" si="19"/>
        <v>6.9213822531356411E-2</v>
      </c>
    </row>
    <row r="143" spans="1:12" x14ac:dyDescent="0.2">
      <c r="A143" s="2">
        <v>8</v>
      </c>
      <c r="B143" s="2">
        <v>4</v>
      </c>
      <c r="C143" s="2">
        <v>2</v>
      </c>
      <c r="D143" s="7">
        <v>4</v>
      </c>
      <c r="E143">
        <f t="shared" si="14"/>
        <v>21.99999999999995</v>
      </c>
      <c r="F143">
        <f t="shared" si="15"/>
        <v>0.36666666666666586</v>
      </c>
      <c r="G143">
        <f t="shared" si="16"/>
        <v>4.7686838175440771</v>
      </c>
      <c r="H143">
        <f t="shared" si="17"/>
        <v>8.2985729998951694</v>
      </c>
      <c r="I143">
        <f t="shared" si="18"/>
        <v>67.352104787541023</v>
      </c>
      <c r="J143">
        <f t="shared" si="20"/>
        <v>7.0802298348160919</v>
      </c>
      <c r="L143">
        <f t="shared" si="19"/>
        <v>7.0802298348160916E-2</v>
      </c>
    </row>
    <row r="144" spans="1:12" x14ac:dyDescent="0.2">
      <c r="A144" s="2">
        <v>16</v>
      </c>
      <c r="B144" s="2">
        <v>4</v>
      </c>
      <c r="C144" s="2">
        <v>2</v>
      </c>
      <c r="D144" s="7">
        <v>4</v>
      </c>
      <c r="E144">
        <f t="shared" si="14"/>
        <v>22.166666666666618</v>
      </c>
      <c r="F144">
        <f t="shared" si="15"/>
        <v>0.36944444444444363</v>
      </c>
      <c r="G144">
        <f t="shared" si="16"/>
        <v>4.8726246152325361</v>
      </c>
      <c r="H144">
        <f t="shared" si="17"/>
        <v>8.2985729998951694</v>
      </c>
      <c r="I144">
        <f t="shared" si="18"/>
        <v>67.352104787541023</v>
      </c>
      <c r="J144">
        <f t="shared" si="20"/>
        <v>7.2345543329388082</v>
      </c>
      <c r="L144">
        <f t="shared" si="19"/>
        <v>7.2345543329388085E-2</v>
      </c>
    </row>
    <row r="145" spans="1:12" x14ac:dyDescent="0.2">
      <c r="A145" s="2">
        <v>16</v>
      </c>
      <c r="B145" s="2">
        <v>4</v>
      </c>
      <c r="C145" s="2">
        <v>2</v>
      </c>
      <c r="D145" s="7">
        <v>4</v>
      </c>
      <c r="E145">
        <f t="shared" si="14"/>
        <v>22.333333333333282</v>
      </c>
      <c r="F145">
        <f t="shared" si="15"/>
        <v>0.3722222222222214</v>
      </c>
      <c r="G145">
        <f t="shared" si="16"/>
        <v>4.9736057650117917</v>
      </c>
      <c r="H145">
        <f t="shared" si="17"/>
        <v>8.2985729998951694</v>
      </c>
      <c r="I145">
        <f t="shared" si="18"/>
        <v>67.352104787541023</v>
      </c>
      <c r="J145">
        <f t="shared" si="20"/>
        <v>7.3844845394227727</v>
      </c>
      <c r="L145">
        <f t="shared" si="19"/>
        <v>7.3844845394227726E-2</v>
      </c>
    </row>
    <row r="146" spans="1:12" x14ac:dyDescent="0.2">
      <c r="A146" s="2">
        <v>16</v>
      </c>
      <c r="B146" s="2">
        <v>4</v>
      </c>
      <c r="C146" s="2">
        <v>2</v>
      </c>
      <c r="D146" s="7">
        <v>4</v>
      </c>
      <c r="E146">
        <f t="shared" si="14"/>
        <v>22.49999999999995</v>
      </c>
      <c r="F146">
        <f t="shared" si="15"/>
        <v>0.37499999999999917</v>
      </c>
      <c r="G146">
        <f t="shared" si="16"/>
        <v>5.0717115409680673</v>
      </c>
      <c r="H146">
        <f t="shared" si="17"/>
        <v>8.2985729998951694</v>
      </c>
      <c r="I146">
        <f t="shared" si="18"/>
        <v>67.352104787541023</v>
      </c>
      <c r="J146">
        <f t="shared" si="20"/>
        <v>7.53014557891923</v>
      </c>
      <c r="L146">
        <f t="shared" si="19"/>
        <v>7.5301455789192298E-2</v>
      </c>
    </row>
    <row r="147" spans="1:12" x14ac:dyDescent="0.2">
      <c r="A147" s="2">
        <v>16</v>
      </c>
      <c r="B147" s="2">
        <v>4</v>
      </c>
      <c r="C147" s="2">
        <v>2</v>
      </c>
      <c r="D147" s="7">
        <v>4</v>
      </c>
      <c r="E147">
        <f t="shared" si="14"/>
        <v>22.666666666666615</v>
      </c>
      <c r="F147">
        <f t="shared" si="15"/>
        <v>0.37777777777777694</v>
      </c>
      <c r="G147">
        <f t="shared" si="16"/>
        <v>5.16702381753674</v>
      </c>
      <c r="H147">
        <f t="shared" si="17"/>
        <v>8.2985729998951694</v>
      </c>
      <c r="I147">
        <f t="shared" si="18"/>
        <v>67.352104787541023</v>
      </c>
      <c r="J147">
        <f t="shared" si="20"/>
        <v>7.6716590132348026</v>
      </c>
      <c r="L147">
        <f t="shared" si="19"/>
        <v>7.6716590132348023E-2</v>
      </c>
    </row>
    <row r="148" spans="1:12" x14ac:dyDescent="0.2">
      <c r="A148" s="2">
        <v>16</v>
      </c>
      <c r="B148" s="2">
        <v>4</v>
      </c>
      <c r="C148" s="2">
        <v>2</v>
      </c>
      <c r="D148" s="7">
        <v>4</v>
      </c>
      <c r="E148">
        <f t="shared" si="14"/>
        <v>22.833333333333282</v>
      </c>
      <c r="F148">
        <f t="shared" si="15"/>
        <v>0.3805555555555547</v>
      </c>
      <c r="G148">
        <f t="shared" si="16"/>
        <v>5.259622137830867</v>
      </c>
      <c r="H148">
        <f t="shared" si="17"/>
        <v>8.2985729998951694</v>
      </c>
      <c r="I148">
        <f t="shared" si="18"/>
        <v>67.352104787541023</v>
      </c>
      <c r="J148">
        <f t="shared" si="20"/>
        <v>7.8091429427812127</v>
      </c>
      <c r="L148">
        <f t="shared" si="19"/>
        <v>7.8091429427812123E-2</v>
      </c>
    </row>
    <row r="149" spans="1:12" x14ac:dyDescent="0.2">
      <c r="A149" s="2">
        <v>16</v>
      </c>
      <c r="B149" s="2">
        <v>4</v>
      </c>
      <c r="C149" s="2">
        <v>2</v>
      </c>
      <c r="D149" s="7">
        <v>4</v>
      </c>
      <c r="E149">
        <f t="shared" si="14"/>
        <v>22.999999999999947</v>
      </c>
      <c r="F149">
        <f t="shared" si="15"/>
        <v>0.38333333333333247</v>
      </c>
      <c r="G149">
        <f t="shared" si="16"/>
        <v>5.349583780024104</v>
      </c>
      <c r="H149">
        <f t="shared" si="17"/>
        <v>8.2985729998951694</v>
      </c>
      <c r="I149">
        <f t="shared" si="18"/>
        <v>67.352104787541023</v>
      </c>
      <c r="J149">
        <f t="shared" si="20"/>
        <v>7.9427121051362963</v>
      </c>
      <c r="L149">
        <f t="shared" si="19"/>
        <v>7.9427121051362959E-2</v>
      </c>
    </row>
    <row r="150" spans="1:12" x14ac:dyDescent="0.2">
      <c r="A150" s="2">
        <v>16</v>
      </c>
      <c r="B150" s="2">
        <v>4</v>
      </c>
      <c r="C150" s="2">
        <v>2</v>
      </c>
      <c r="D150" s="7">
        <v>4</v>
      </c>
      <c r="E150">
        <f t="shared" si="14"/>
        <v>23.166666666666615</v>
      </c>
      <c r="F150">
        <f t="shared" si="15"/>
        <v>0.38611111111111024</v>
      </c>
      <c r="G150">
        <f t="shared" si="16"/>
        <v>5.4369838218434081</v>
      </c>
      <c r="H150">
        <f t="shared" si="17"/>
        <v>8.2985729998951694</v>
      </c>
      <c r="I150">
        <f t="shared" si="18"/>
        <v>67.352104787541023</v>
      </c>
      <c r="J150">
        <f t="shared" si="20"/>
        <v>8.0724779707985554</v>
      </c>
      <c r="L150">
        <f t="shared" si="19"/>
        <v>8.0724779707985556E-2</v>
      </c>
    </row>
    <row r="151" spans="1:12" x14ac:dyDescent="0.2">
      <c r="A151" s="2">
        <v>16</v>
      </c>
      <c r="B151" s="2">
        <v>4</v>
      </c>
      <c r="C151" s="2">
        <v>2</v>
      </c>
      <c r="D151" s="7">
        <v>4</v>
      </c>
      <c r="E151">
        <f t="shared" si="14"/>
        <v>23.333333333333279</v>
      </c>
      <c r="F151">
        <f t="shared" si="15"/>
        <v>0.38888888888888801</v>
      </c>
      <c r="G151">
        <f t="shared" si="16"/>
        <v>5.5218952032253537</v>
      </c>
      <c r="H151">
        <f t="shared" si="17"/>
        <v>8.2985729998951694</v>
      </c>
      <c r="I151">
        <f t="shared" si="18"/>
        <v>67.352104787541023</v>
      </c>
      <c r="J151">
        <f t="shared" si="20"/>
        <v>8.1985488362151511</v>
      </c>
      <c r="L151">
        <f t="shared" si="19"/>
        <v>8.1985488362151512E-2</v>
      </c>
    </row>
    <row r="152" spans="1:12" x14ac:dyDescent="0.2">
      <c r="A152" s="2">
        <v>16</v>
      </c>
      <c r="B152" s="2">
        <v>4</v>
      </c>
      <c r="C152" s="2">
        <v>2</v>
      </c>
      <c r="D152" s="7">
        <v>4</v>
      </c>
      <c r="E152">
        <f t="shared" si="14"/>
        <v>23.499999999999947</v>
      </c>
      <c r="F152">
        <f t="shared" si="15"/>
        <v>0.39166666666666577</v>
      </c>
      <c r="G152">
        <f t="shared" si="16"/>
        <v>5.6043887871883511</v>
      </c>
      <c r="H152">
        <f t="shared" si="17"/>
        <v>8.2985729998951694</v>
      </c>
      <c r="I152">
        <f t="shared" si="18"/>
        <v>67.352104787541023</v>
      </c>
      <c r="J152">
        <f t="shared" si="20"/>
        <v>8.3210299141609987</v>
      </c>
      <c r="L152">
        <f t="shared" si="19"/>
        <v>8.3210299141609989E-2</v>
      </c>
    </row>
    <row r="153" spans="1:12" x14ac:dyDescent="0.2">
      <c r="A153" s="2">
        <v>16</v>
      </c>
      <c r="B153" s="2">
        <v>4</v>
      </c>
      <c r="C153" s="2">
        <v>2</v>
      </c>
      <c r="D153" s="7">
        <v>4</v>
      </c>
      <c r="E153">
        <f t="shared" si="14"/>
        <v>23.666666666666611</v>
      </c>
      <c r="F153">
        <f t="shared" si="15"/>
        <v>0.39444444444444354</v>
      </c>
      <c r="G153">
        <f t="shared" si="16"/>
        <v>5.6845334189715651</v>
      </c>
      <c r="H153">
        <f t="shared" si="17"/>
        <v>8.2985729998951694</v>
      </c>
      <c r="I153">
        <f t="shared" si="18"/>
        <v>67.352104787541023</v>
      </c>
      <c r="J153">
        <f t="shared" si="20"/>
        <v>8.4400234215443639</v>
      </c>
      <c r="L153">
        <f t="shared" si="19"/>
        <v>8.440023421544364E-2</v>
      </c>
    </row>
    <row r="154" spans="1:12" x14ac:dyDescent="0.2">
      <c r="A154" s="2">
        <v>16</v>
      </c>
      <c r="B154" s="2">
        <v>4</v>
      </c>
      <c r="C154" s="2">
        <v>2</v>
      </c>
      <c r="D154" s="7">
        <v>4</v>
      </c>
      <c r="E154">
        <f t="shared" si="14"/>
        <v>23.833333333333279</v>
      </c>
      <c r="F154">
        <f t="shared" si="15"/>
        <v>0.39722222222222131</v>
      </c>
      <c r="G154">
        <f t="shared" si="16"/>
        <v>5.7623959834898928</v>
      </c>
      <c r="H154">
        <f t="shared" si="17"/>
        <v>8.2985729998951694</v>
      </c>
      <c r="I154">
        <f t="shared" si="18"/>
        <v>67.352104787541023</v>
      </c>
      <c r="J154">
        <f t="shared" si="20"/>
        <v>8.5556286647122519</v>
      </c>
      <c r="L154">
        <f t="shared" si="19"/>
        <v>8.5556286647122518E-2</v>
      </c>
    </row>
    <row r="155" spans="1:12" x14ac:dyDescent="0.2">
      <c r="A155" s="2">
        <v>16</v>
      </c>
      <c r="B155" s="2">
        <v>4</v>
      </c>
      <c r="C155" s="2">
        <v>2</v>
      </c>
      <c r="D155" s="7">
        <v>4</v>
      </c>
      <c r="E155">
        <f t="shared" si="14"/>
        <v>23.999999999999943</v>
      </c>
      <c r="F155">
        <f t="shared" si="15"/>
        <v>0.39999999999999908</v>
      </c>
      <c r="G155">
        <f t="shared" si="16"/>
        <v>5.8380414611529456</v>
      </c>
      <c r="H155">
        <f t="shared" si="17"/>
        <v>8.2985729998951694</v>
      </c>
      <c r="I155">
        <f t="shared" si="18"/>
        <v>67.352104787541023</v>
      </c>
      <c r="J155">
        <f t="shared" si="20"/>
        <v>8.6679421223267887</v>
      </c>
      <c r="L155">
        <f t="shared" si="19"/>
        <v>8.6679421223267883E-2</v>
      </c>
    </row>
    <row r="156" spans="1:12" x14ac:dyDescent="0.2">
      <c r="A156" s="2">
        <v>16</v>
      </c>
      <c r="B156" s="2">
        <v>4</v>
      </c>
      <c r="C156" s="2">
        <v>2</v>
      </c>
      <c r="D156" s="7">
        <v>4</v>
      </c>
      <c r="E156">
        <f t="shared" si="14"/>
        <v>24.166666666666611</v>
      </c>
      <c r="F156">
        <f t="shared" si="15"/>
        <v>0.40277777777777685</v>
      </c>
      <c r="G156">
        <f t="shared" si="16"/>
        <v>5.9115329820946236</v>
      </c>
      <c r="H156">
        <f t="shared" si="17"/>
        <v>8.2985729998951694</v>
      </c>
      <c r="I156">
        <f t="shared" si="18"/>
        <v>67.352104787541023</v>
      </c>
      <c r="J156">
        <f t="shared" si="20"/>
        <v>8.7770575258817374</v>
      </c>
      <c r="L156">
        <f t="shared" si="19"/>
        <v>8.7770575258817374E-2</v>
      </c>
    </row>
    <row r="157" spans="1:12" x14ac:dyDescent="0.2">
      <c r="A157" s="2">
        <v>16</v>
      </c>
      <c r="B157" s="2">
        <v>4</v>
      </c>
      <c r="C157" s="2">
        <v>2</v>
      </c>
      <c r="D157" s="7">
        <v>4</v>
      </c>
      <c r="E157">
        <f t="shared" si="14"/>
        <v>24.333333333333275</v>
      </c>
      <c r="F157">
        <f t="shared" si="15"/>
        <v>0.40555555555555461</v>
      </c>
      <c r="G157">
        <f t="shared" si="16"/>
        <v>5.9829318788585359</v>
      </c>
      <c r="H157">
        <f t="shared" si="17"/>
        <v>8.2985729998951694</v>
      </c>
      <c r="I157">
        <f t="shared" si="18"/>
        <v>67.352104787541023</v>
      </c>
      <c r="J157">
        <f t="shared" si="20"/>
        <v>8.883065937926375</v>
      </c>
      <c r="L157">
        <f t="shared" si="19"/>
        <v>8.8830659379263752E-2</v>
      </c>
    </row>
    <row r="158" spans="1:12" x14ac:dyDescent="0.2">
      <c r="A158" s="2">
        <v>16</v>
      </c>
      <c r="B158" s="2">
        <v>4</v>
      </c>
      <c r="C158" s="2">
        <v>2</v>
      </c>
      <c r="D158" s="7">
        <v>4</v>
      </c>
      <c r="E158">
        <f t="shared" si="14"/>
        <v>24.499999999999943</v>
      </c>
      <c r="F158">
        <f t="shared" si="15"/>
        <v>0.40833333333333238</v>
      </c>
      <c r="G158">
        <f t="shared" si="16"/>
        <v>6.0522977375832356</v>
      </c>
      <c r="H158">
        <f t="shared" si="17"/>
        <v>8.2985729998951694</v>
      </c>
      <c r="I158">
        <f t="shared" si="18"/>
        <v>67.352104787541023</v>
      </c>
      <c r="J158">
        <f t="shared" si="20"/>
        <v>8.9860558280619696</v>
      </c>
      <c r="L158">
        <f t="shared" si="19"/>
        <v>8.9860558280619701E-2</v>
      </c>
    </row>
    <row r="159" spans="1:12" x14ac:dyDescent="0.2">
      <c r="A159" s="2">
        <v>16</v>
      </c>
      <c r="B159" s="2">
        <v>4</v>
      </c>
      <c r="C159" s="2">
        <v>2</v>
      </c>
      <c r="D159" s="7">
        <v>4</v>
      </c>
      <c r="E159">
        <f t="shared" si="14"/>
        <v>24.666666666666607</v>
      </c>
      <c r="F159">
        <f t="shared" si="15"/>
        <v>0.41111111111111015</v>
      </c>
      <c r="G159">
        <f t="shared" si="16"/>
        <v>6.1196884477299927</v>
      </c>
      <c r="H159">
        <f t="shared" si="17"/>
        <v>8.2985729998951694</v>
      </c>
      <c r="I159">
        <f t="shared" si="18"/>
        <v>67.352104787541023</v>
      </c>
      <c r="J159">
        <f t="shared" si="20"/>
        <v>9.0861131467743377</v>
      </c>
      <c r="L159">
        <f t="shared" si="19"/>
        <v>9.0861131467743383E-2</v>
      </c>
    </row>
    <row r="160" spans="1:12" x14ac:dyDescent="0.2">
      <c r="A160" s="2">
        <v>16</v>
      </c>
      <c r="B160" s="2">
        <v>4</v>
      </c>
      <c r="C160" s="2">
        <v>2</v>
      </c>
      <c r="D160" s="7">
        <v>4</v>
      </c>
      <c r="E160">
        <f t="shared" si="14"/>
        <v>24.833333333333275</v>
      </c>
      <c r="F160">
        <f t="shared" si="15"/>
        <v>0.41388888888888792</v>
      </c>
      <c r="G160">
        <f t="shared" si="16"/>
        <v>6.1851602503945946</v>
      </c>
      <c r="H160">
        <f t="shared" si="17"/>
        <v>8.2985729998951694</v>
      </c>
      <c r="I160">
        <f t="shared" si="18"/>
        <v>67.352104787541023</v>
      </c>
      <c r="J160">
        <f t="shared" si="20"/>
        <v>9.1833213971640308</v>
      </c>
      <c r="L160">
        <f t="shared" si="19"/>
        <v>9.1833213971640307E-2</v>
      </c>
    </row>
    <row r="161" spans="1:12" x14ac:dyDescent="0.2">
      <c r="A161" s="2">
        <v>16</v>
      </c>
      <c r="B161" s="2">
        <v>4</v>
      </c>
      <c r="C161" s="2">
        <v>2</v>
      </c>
      <c r="D161" s="7">
        <v>4</v>
      </c>
      <c r="E161">
        <f t="shared" si="14"/>
        <v>24.99999999999994</v>
      </c>
      <c r="F161">
        <f t="shared" si="15"/>
        <v>0.41666666666666569</v>
      </c>
      <c r="G161">
        <f t="shared" si="16"/>
        <v>6.248767785243504</v>
      </c>
      <c r="H161">
        <f t="shared" si="17"/>
        <v>8.2985729998951694</v>
      </c>
      <c r="I161">
        <f t="shared" si="18"/>
        <v>67.352104787541023</v>
      </c>
      <c r="J161">
        <f t="shared" si="20"/>
        <v>9.2777617046340897</v>
      </c>
      <c r="L161">
        <f t="shared" si="19"/>
        <v>9.2777617046340896E-2</v>
      </c>
    </row>
    <row r="162" spans="1:12" x14ac:dyDescent="0.2">
      <c r="A162" s="2">
        <v>32</v>
      </c>
      <c r="B162" s="2">
        <v>4</v>
      </c>
      <c r="C162" s="2">
        <v>2</v>
      </c>
      <c r="D162" s="7">
        <v>4</v>
      </c>
      <c r="E162">
        <f t="shared" si="14"/>
        <v>25.166666666666607</v>
      </c>
      <c r="F162">
        <f t="shared" si="15"/>
        <v>0.41944444444444345</v>
      </c>
      <c r="G162">
        <f t="shared" si="16"/>
        <v>6.3105641361135358</v>
      </c>
      <c r="H162">
        <f t="shared" si="17"/>
        <v>8.2985729998951694</v>
      </c>
      <c r="I162">
        <f t="shared" si="18"/>
        <v>67.352104787541023</v>
      </c>
      <c r="J162">
        <f t="shared" si="20"/>
        <v>9.3695128845934459</v>
      </c>
      <c r="L162">
        <f t="shared" si="19"/>
        <v>9.3695128845934464E-2</v>
      </c>
    </row>
    <row r="163" spans="1:12" x14ac:dyDescent="0.2">
      <c r="A163" s="2">
        <v>32</v>
      </c>
      <c r="B163" s="2">
        <v>8</v>
      </c>
      <c r="C163" s="2">
        <v>2</v>
      </c>
      <c r="D163" s="7">
        <v>8</v>
      </c>
      <c r="E163">
        <f t="shared" si="14"/>
        <v>25.333333333333272</v>
      </c>
      <c r="F163">
        <f t="shared" si="15"/>
        <v>0.42222222222222122</v>
      </c>
      <c r="G163">
        <f t="shared" si="16"/>
        <v>6.6103269027103737</v>
      </c>
      <c r="H163">
        <f t="shared" si="17"/>
        <v>16.597145999790339</v>
      </c>
      <c r="I163">
        <f t="shared" si="18"/>
        <v>67.352104787541023</v>
      </c>
      <c r="J163">
        <f t="shared" si="20"/>
        <v>9.8145810343452986</v>
      </c>
      <c r="L163">
        <f t="shared" si="19"/>
        <v>9.8145810343452988E-2</v>
      </c>
    </row>
    <row r="164" spans="1:12" x14ac:dyDescent="0.2">
      <c r="A164" s="2">
        <v>32</v>
      </c>
      <c r="B164" s="2">
        <v>8</v>
      </c>
      <c r="C164" s="2">
        <v>2</v>
      </c>
      <c r="D164" s="7">
        <v>8</v>
      </c>
      <c r="E164">
        <f t="shared" si="14"/>
        <v>25.49999999999994</v>
      </c>
      <c r="F164">
        <f t="shared" si="15"/>
        <v>0.42499999999999899</v>
      </c>
      <c r="G164">
        <f t="shared" si="16"/>
        <v>6.9015541157503266</v>
      </c>
      <c r="H164">
        <f t="shared" si="17"/>
        <v>16.597145999790339</v>
      </c>
      <c r="I164">
        <f t="shared" si="18"/>
        <v>67.352104787541023</v>
      </c>
      <c r="J164">
        <f t="shared" si="20"/>
        <v>10.246976152446829</v>
      </c>
      <c r="L164">
        <f t="shared" si="19"/>
        <v>0.10246976152446828</v>
      </c>
    </row>
    <row r="165" spans="1:12" x14ac:dyDescent="0.2">
      <c r="A165" s="2">
        <v>32</v>
      </c>
      <c r="B165" s="2">
        <v>8</v>
      </c>
      <c r="C165" s="2">
        <v>2</v>
      </c>
      <c r="D165" s="7">
        <v>8</v>
      </c>
      <c r="E165">
        <f t="shared" si="14"/>
        <v>25.666666666666604</v>
      </c>
      <c r="F165">
        <f t="shared" si="15"/>
        <v>0.42777777777777676</v>
      </c>
      <c r="G165">
        <f t="shared" si="16"/>
        <v>7.1844888196760035</v>
      </c>
      <c r="H165">
        <f t="shared" si="17"/>
        <v>16.597145999790339</v>
      </c>
      <c r="I165">
        <f t="shared" si="18"/>
        <v>67.352104787541023</v>
      </c>
      <c r="J165">
        <f t="shared" si="20"/>
        <v>10.667059095390009</v>
      </c>
      <c r="L165">
        <f t="shared" si="19"/>
        <v>0.10667059095390009</v>
      </c>
    </row>
    <row r="166" spans="1:12" x14ac:dyDescent="0.2">
      <c r="A166" s="2">
        <v>32</v>
      </c>
      <c r="B166" s="2">
        <v>8</v>
      </c>
      <c r="C166" s="2">
        <v>2</v>
      </c>
      <c r="D166" s="7">
        <v>8</v>
      </c>
      <c r="E166">
        <f t="shared" si="14"/>
        <v>25.833333333333272</v>
      </c>
      <c r="F166">
        <f t="shared" si="15"/>
        <v>0.43055555555555453</v>
      </c>
      <c r="G166">
        <f t="shared" si="16"/>
        <v>7.4593671383945512</v>
      </c>
      <c r="H166">
        <f t="shared" si="17"/>
        <v>16.597145999790339</v>
      </c>
      <c r="I166">
        <f t="shared" si="18"/>
        <v>67.352104787541023</v>
      </c>
      <c r="J166">
        <f t="shared" si="20"/>
        <v>11.075180444508403</v>
      </c>
      <c r="L166">
        <f t="shared" si="19"/>
        <v>0.11075180444508403</v>
      </c>
    </row>
    <row r="167" spans="1:12" x14ac:dyDescent="0.2">
      <c r="A167" s="2">
        <v>32</v>
      </c>
      <c r="B167" s="2">
        <v>8</v>
      </c>
      <c r="C167" s="2">
        <v>2</v>
      </c>
      <c r="D167" s="7">
        <v>8</v>
      </c>
      <c r="E167">
        <f t="shared" si="14"/>
        <v>25.999999999999936</v>
      </c>
      <c r="F167">
        <f t="shared" si="15"/>
        <v>0.43333333333333229</v>
      </c>
      <c r="G167">
        <f t="shared" si="16"/>
        <v>7.7264184723354861</v>
      </c>
      <c r="H167">
        <f t="shared" si="17"/>
        <v>16.597145999790339</v>
      </c>
      <c r="I167">
        <f t="shared" si="18"/>
        <v>67.352104787541023</v>
      </c>
      <c r="J167">
        <f t="shared" si="20"/>
        <v>11.471680798555742</v>
      </c>
      <c r="L167">
        <f t="shared" si="19"/>
        <v>0.11471680798555742</v>
      </c>
    </row>
    <row r="168" spans="1:12" x14ac:dyDescent="0.2">
      <c r="A168" s="2">
        <v>32</v>
      </c>
      <c r="B168" s="2">
        <v>8</v>
      </c>
      <c r="C168" s="2">
        <v>2</v>
      </c>
      <c r="D168" s="7">
        <v>8</v>
      </c>
      <c r="E168">
        <f t="shared" si="14"/>
        <v>26.166666666666604</v>
      </c>
      <c r="F168">
        <f t="shared" si="15"/>
        <v>0.43611111111111006</v>
      </c>
      <c r="G168">
        <f t="shared" si="16"/>
        <v>7.9858656898974303</v>
      </c>
      <c r="H168">
        <f t="shared" si="17"/>
        <v>16.597145999790339</v>
      </c>
      <c r="I168">
        <f t="shared" si="18"/>
        <v>67.352104787541023</v>
      </c>
      <c r="J168">
        <f t="shared" si="20"/>
        <v>11.856891057953511</v>
      </c>
      <c r="L168">
        <f t="shared" si="19"/>
        <v>0.11856891057953511</v>
      </c>
    </row>
    <row r="169" spans="1:12" x14ac:dyDescent="0.2">
      <c r="A169" s="2">
        <v>32</v>
      </c>
      <c r="B169" s="2">
        <v>8</v>
      </c>
      <c r="C169" s="2">
        <v>2</v>
      </c>
      <c r="D169" s="7">
        <v>8</v>
      </c>
      <c r="E169">
        <f t="shared" si="14"/>
        <v>26.333333333333268</v>
      </c>
      <c r="F169">
        <f t="shared" si="15"/>
        <v>0.43888888888888783</v>
      </c>
      <c r="G169">
        <f t="shared" si="16"/>
        <v>8.2379253134435277</v>
      </c>
      <c r="H169">
        <f t="shared" si="17"/>
        <v>16.597145999790339</v>
      </c>
      <c r="I169">
        <f t="shared" si="18"/>
        <v>67.352104787541023</v>
      </c>
      <c r="J169">
        <f t="shared" si="20"/>
        <v>12.231132700944784</v>
      </c>
      <c r="L169">
        <f t="shared" si="19"/>
        <v>0.12231132700944784</v>
      </c>
    </row>
    <row r="170" spans="1:12" x14ac:dyDescent="0.2">
      <c r="A170" s="2">
        <v>32</v>
      </c>
      <c r="B170" s="2">
        <v>8</v>
      </c>
      <c r="C170" s="2">
        <v>2</v>
      </c>
      <c r="D170" s="7">
        <v>8</v>
      </c>
      <c r="E170">
        <f t="shared" si="14"/>
        <v>26.499999999999936</v>
      </c>
      <c r="F170">
        <f t="shared" si="15"/>
        <v>0.4416666666666656</v>
      </c>
      <c r="G170">
        <f t="shared" si="16"/>
        <v>8.4828077000007518</v>
      </c>
      <c r="H170">
        <f t="shared" si="17"/>
        <v>16.597145999790339</v>
      </c>
      <c r="I170">
        <f t="shared" si="18"/>
        <v>67.352104787541023</v>
      </c>
      <c r="J170">
        <f t="shared" si="20"/>
        <v>12.594718051884735</v>
      </c>
      <c r="L170">
        <f t="shared" si="19"/>
        <v>0.12594718051884735</v>
      </c>
    </row>
    <row r="171" spans="1:12" x14ac:dyDescent="0.2">
      <c r="A171" s="2">
        <v>32</v>
      </c>
      <c r="B171" s="2">
        <v>8</v>
      </c>
      <c r="C171" s="2">
        <v>2</v>
      </c>
      <c r="D171" s="7">
        <v>8</v>
      </c>
      <c r="E171">
        <f t="shared" si="14"/>
        <v>26.6666666666666</v>
      </c>
      <c r="F171">
        <f t="shared" si="15"/>
        <v>0.44444444444444337</v>
      </c>
      <c r="G171">
        <f t="shared" si="16"/>
        <v>8.720717216813922</v>
      </c>
      <c r="H171">
        <f t="shared" si="17"/>
        <v>16.597145999790339</v>
      </c>
      <c r="I171">
        <f t="shared" si="18"/>
        <v>67.352104787541023</v>
      </c>
      <c r="J171">
        <f t="shared" si="20"/>
        <v>12.947950541891757</v>
      </c>
      <c r="L171">
        <f t="shared" si="19"/>
        <v>0.12947950541891756</v>
      </c>
    </row>
    <row r="172" spans="1:12" x14ac:dyDescent="0.2">
      <c r="A172" s="2">
        <v>32</v>
      </c>
      <c r="B172" s="2">
        <v>8</v>
      </c>
      <c r="C172" s="2">
        <v>2</v>
      </c>
      <c r="D172" s="7">
        <v>8</v>
      </c>
      <c r="E172">
        <f t="shared" si="14"/>
        <v>26.833333333333268</v>
      </c>
      <c r="F172">
        <f t="shared" si="15"/>
        <v>0.44722222222222113</v>
      </c>
      <c r="G172">
        <f t="shared" si="16"/>
        <v>8.95185241190093</v>
      </c>
      <c r="H172">
        <f t="shared" si="17"/>
        <v>16.597145999790339</v>
      </c>
      <c r="I172">
        <f t="shared" si="18"/>
        <v>67.352104787541023</v>
      </c>
      <c r="J172">
        <f t="shared" si="20"/>
        <v>13.291124962076713</v>
      </c>
      <c r="L172">
        <f t="shared" si="19"/>
        <v>0.13291124962076714</v>
      </c>
    </row>
    <row r="173" spans="1:12" x14ac:dyDescent="0.2">
      <c r="A173" s="2">
        <v>32</v>
      </c>
      <c r="B173" s="2">
        <v>8</v>
      </c>
      <c r="C173" s="2">
        <v>2</v>
      </c>
      <c r="D173" s="7">
        <v>8</v>
      </c>
      <c r="E173">
        <f t="shared" si="14"/>
        <v>26.999999999999932</v>
      </c>
      <c r="F173">
        <f t="shared" si="15"/>
        <v>0.4499999999999989</v>
      </c>
      <c r="G173">
        <f t="shared" si="16"/>
        <v>9.1764061797515133</v>
      </c>
      <c r="H173">
        <f t="shared" si="17"/>
        <v>16.597145999790339</v>
      </c>
      <c r="I173">
        <f t="shared" si="18"/>
        <v>67.352104787541023</v>
      </c>
      <c r="J173">
        <f t="shared" si="20"/>
        <v>13.624527709561631</v>
      </c>
      <c r="L173">
        <f t="shared" si="19"/>
        <v>0.13624527709561632</v>
      </c>
    </row>
    <row r="174" spans="1:12" x14ac:dyDescent="0.2">
      <c r="A174" s="2">
        <v>32</v>
      </c>
      <c r="B174" s="2">
        <v>8</v>
      </c>
      <c r="C174" s="2">
        <v>2</v>
      </c>
      <c r="D174" s="7">
        <v>8</v>
      </c>
      <c r="E174">
        <f t="shared" si="14"/>
        <v>27.1666666666666</v>
      </c>
      <c r="F174">
        <f t="shared" si="15"/>
        <v>0.45277777777777667</v>
      </c>
      <c r="G174">
        <f t="shared" si="16"/>
        <v>9.3945659223078657</v>
      </c>
      <c r="H174">
        <f t="shared" si="17"/>
        <v>16.597145999790339</v>
      </c>
      <c r="I174">
        <f t="shared" si="18"/>
        <v>67.352104787541023</v>
      </c>
      <c r="J174">
        <f t="shared" si="20"/>
        <v>13.94843702649319</v>
      </c>
      <c r="L174">
        <f t="shared" si="19"/>
        <v>0.13948437026493191</v>
      </c>
    </row>
    <row r="175" spans="1:12" x14ac:dyDescent="0.2">
      <c r="A175" s="2">
        <v>32</v>
      </c>
      <c r="B175" s="2">
        <v>8</v>
      </c>
      <c r="C175" s="2">
        <v>2</v>
      </c>
      <c r="D175" s="7">
        <v>8</v>
      </c>
      <c r="E175">
        <f t="shared" si="14"/>
        <v>27.333333333333265</v>
      </c>
      <c r="F175">
        <f t="shared" si="15"/>
        <v>0.45555555555555444</v>
      </c>
      <c r="G175">
        <f t="shared" si="16"/>
        <v>9.6065137053614222</v>
      </c>
      <c r="H175">
        <f t="shared" si="17"/>
        <v>16.597145999790339</v>
      </c>
      <c r="I175">
        <f t="shared" si="18"/>
        <v>67.352104787541023</v>
      </c>
      <c r="J175">
        <f t="shared" si="20"/>
        <v>14.263123232250436</v>
      </c>
      <c r="L175">
        <f t="shared" si="19"/>
        <v>0.14263123232250435</v>
      </c>
    </row>
    <row r="176" spans="1:12" x14ac:dyDescent="0.2">
      <c r="A176" s="2">
        <v>32</v>
      </c>
      <c r="B176" s="2">
        <v>8</v>
      </c>
      <c r="C176" s="2">
        <v>2</v>
      </c>
      <c r="D176" s="7">
        <v>8</v>
      </c>
      <c r="E176">
        <f t="shared" si="14"/>
        <v>27.499999999999932</v>
      </c>
      <c r="F176">
        <f t="shared" si="15"/>
        <v>0.4583333333333322</v>
      </c>
      <c r="G176">
        <f t="shared" si="16"/>
        <v>9.8124264104963466</v>
      </c>
      <c r="H176">
        <f t="shared" si="17"/>
        <v>16.597145999790339</v>
      </c>
      <c r="I176">
        <f t="shared" si="18"/>
        <v>67.352104787541023</v>
      </c>
      <c r="J176">
        <f t="shared" si="20"/>
        <v>14.568848949040531</v>
      </c>
      <c r="L176">
        <f t="shared" si="19"/>
        <v>0.1456884894904053</v>
      </c>
    </row>
    <row r="177" spans="1:12" x14ac:dyDescent="0.2">
      <c r="A177" s="2">
        <v>32</v>
      </c>
      <c r="B177" s="2">
        <v>8</v>
      </c>
      <c r="C177" s="2">
        <v>2</v>
      </c>
      <c r="D177" s="7">
        <v>8</v>
      </c>
      <c r="E177">
        <f t="shared" si="14"/>
        <v>27.666666666666597</v>
      </c>
      <c r="F177">
        <f t="shared" si="15"/>
        <v>0.46111111111110997</v>
      </c>
      <c r="G177">
        <f t="shared" si="16"/>
        <v>10.012475882706529</v>
      </c>
      <c r="H177">
        <f t="shared" si="17"/>
        <v>16.597145999790339</v>
      </c>
      <c r="I177">
        <f t="shared" si="18"/>
        <v>67.352104787541023</v>
      </c>
      <c r="J177">
        <f t="shared" si="20"/>
        <v>14.865869321070816</v>
      </c>
      <c r="L177">
        <f t="shared" si="19"/>
        <v>0.14865869321070815</v>
      </c>
    </row>
    <row r="178" spans="1:12" x14ac:dyDescent="0.2">
      <c r="A178" s="2">
        <v>32</v>
      </c>
      <c r="B178" s="2">
        <v>8</v>
      </c>
      <c r="C178" s="2">
        <v>2</v>
      </c>
      <c r="D178" s="7">
        <v>8</v>
      </c>
      <c r="E178">
        <f t="shared" si="14"/>
        <v>27.833333333333265</v>
      </c>
      <c r="F178">
        <f t="shared" si="15"/>
        <v>0.46388888888888774</v>
      </c>
      <c r="G178">
        <f t="shared" si="16"/>
        <v>10.206829073809281</v>
      </c>
      <c r="H178">
        <f t="shared" si="17"/>
        <v>16.597145999790339</v>
      </c>
      <c r="I178">
        <f t="shared" si="18"/>
        <v>67.352104787541023</v>
      </c>
      <c r="J178">
        <f t="shared" si="20"/>
        <v>15.154432227480097</v>
      </c>
      <c r="L178">
        <f t="shared" si="19"/>
        <v>0.15154432227480097</v>
      </c>
    </row>
    <row r="179" spans="1:12" x14ac:dyDescent="0.2">
      <c r="A179" s="2">
        <v>32</v>
      </c>
      <c r="B179" s="2">
        <v>8</v>
      </c>
      <c r="C179" s="2">
        <v>2</v>
      </c>
      <c r="D179" s="7">
        <v>8</v>
      </c>
      <c r="E179">
        <f t="shared" si="14"/>
        <v>27.999999999999929</v>
      </c>
      <c r="F179">
        <f t="shared" si="15"/>
        <v>0.46666666666666551</v>
      </c>
      <c r="G179">
        <f t="shared" si="16"/>
        <v>10.395648181775417</v>
      </c>
      <c r="H179">
        <f t="shared" si="17"/>
        <v>16.597145999790339</v>
      </c>
      <c r="I179">
        <f t="shared" si="18"/>
        <v>67.352104787541023</v>
      </c>
      <c r="J179">
        <f t="shared" si="20"/>
        <v>15.434778489206819</v>
      </c>
      <c r="L179">
        <f t="shared" si="19"/>
        <v>0.15434778489206818</v>
      </c>
    </row>
    <row r="180" spans="1:12" x14ac:dyDescent="0.2">
      <c r="A180" s="2">
        <v>16</v>
      </c>
      <c r="B180" s="2">
        <v>8</v>
      </c>
      <c r="C180" s="2">
        <v>2</v>
      </c>
      <c r="D180" s="7">
        <v>8</v>
      </c>
      <c r="E180">
        <f t="shared" si="14"/>
        <v>28.166666666666597</v>
      </c>
      <c r="F180">
        <f t="shared" si="15"/>
        <v>0.46944444444444328</v>
      </c>
      <c r="G180">
        <f t="shared" si="16"/>
        <v>10.579090786091999</v>
      </c>
      <c r="H180">
        <f t="shared" si="17"/>
        <v>16.597145999790339</v>
      </c>
      <c r="I180">
        <f t="shared" si="18"/>
        <v>67.352104787541023</v>
      </c>
      <c r="J180">
        <f t="shared" si="20"/>
        <v>15.707142069966828</v>
      </c>
      <c r="L180">
        <f t="shared" si="19"/>
        <v>0.15707142069966828</v>
      </c>
    </row>
    <row r="181" spans="1:12" x14ac:dyDescent="0.2">
      <c r="A181" s="2">
        <v>16</v>
      </c>
      <c r="B181" s="2">
        <v>8</v>
      </c>
      <c r="C181" s="2">
        <v>2</v>
      </c>
      <c r="D181" s="7">
        <v>8</v>
      </c>
      <c r="E181">
        <f t="shared" si="14"/>
        <v>28.333333333333261</v>
      </c>
      <c r="F181">
        <f t="shared" si="15"/>
        <v>0.47222222222222104</v>
      </c>
      <c r="G181">
        <f t="shared" si="16"/>
        <v>10.757309979270719</v>
      </c>
      <c r="H181">
        <f t="shared" si="17"/>
        <v>16.597145999790339</v>
      </c>
      <c r="I181">
        <f t="shared" si="18"/>
        <v>67.352104787541023</v>
      </c>
      <c r="J181">
        <f t="shared" si="20"/>
        <v>15.971750271508419</v>
      </c>
      <c r="L181">
        <f t="shared" si="19"/>
        <v>0.1597175027150842</v>
      </c>
    </row>
    <row r="182" spans="1:12" x14ac:dyDescent="0.2">
      <c r="A182" s="2">
        <v>16</v>
      </c>
      <c r="B182" s="2">
        <v>8</v>
      </c>
      <c r="C182" s="2">
        <v>2</v>
      </c>
      <c r="D182" s="7">
        <v>8</v>
      </c>
      <c r="E182">
        <f t="shared" si="14"/>
        <v>28.499999999999929</v>
      </c>
      <c r="F182">
        <f t="shared" si="15"/>
        <v>0.47499999999999881</v>
      </c>
      <c r="G182">
        <f t="shared" si="16"/>
        <v>10.930454494611654</v>
      </c>
      <c r="H182">
        <f t="shared" si="17"/>
        <v>16.597145999790339</v>
      </c>
      <c r="I182">
        <f t="shared" si="18"/>
        <v>67.352104787541023</v>
      </c>
      <c r="J182">
        <f t="shared" si="20"/>
        <v>16.228823923307591</v>
      </c>
      <c r="L182">
        <f t="shared" si="19"/>
        <v>0.16228823923307589</v>
      </c>
    </row>
    <row r="183" spans="1:12" x14ac:dyDescent="0.2">
      <c r="A183" s="2">
        <v>16</v>
      </c>
      <c r="B183" s="2">
        <v>8</v>
      </c>
      <c r="C183" s="2">
        <v>2</v>
      </c>
      <c r="D183" s="7">
        <v>8</v>
      </c>
      <c r="E183">
        <f t="shared" si="14"/>
        <v>28.666666666666593</v>
      </c>
      <c r="F183">
        <f t="shared" si="15"/>
        <v>0.47777777777777658</v>
      </c>
      <c r="G183">
        <f t="shared" si="16"/>
        <v>11.098668830329043</v>
      </c>
      <c r="H183">
        <f t="shared" si="17"/>
        <v>16.597145999790339</v>
      </c>
      <c r="I183">
        <f t="shared" si="18"/>
        <v>67.352104787541023</v>
      </c>
      <c r="J183">
        <f t="shared" si="20"/>
        <v>16.478577566861883</v>
      </c>
      <c r="L183">
        <f t="shared" si="19"/>
        <v>0.16478577566861882</v>
      </c>
    </row>
    <row r="184" spans="1:12" x14ac:dyDescent="0.2">
      <c r="A184" s="2">
        <v>16</v>
      </c>
      <c r="B184" s="2">
        <v>8</v>
      </c>
      <c r="C184" s="2">
        <v>2</v>
      </c>
      <c r="D184" s="7">
        <v>8</v>
      </c>
      <c r="E184">
        <f t="shared" si="14"/>
        <v>28.833333333333261</v>
      </c>
      <c r="F184">
        <f t="shared" si="15"/>
        <v>0.48055555555555435</v>
      </c>
      <c r="G184">
        <f t="shared" si="16"/>
        <v>11.262093370142651</v>
      </c>
      <c r="H184">
        <f t="shared" si="17"/>
        <v>16.597145999790339</v>
      </c>
      <c r="I184">
        <f t="shared" si="18"/>
        <v>67.352104787541023</v>
      </c>
      <c r="J184">
        <f t="shared" si="20"/>
        <v>16.72121963473656</v>
      </c>
      <c r="L184">
        <f t="shared" si="19"/>
        <v>0.16721219634736559</v>
      </c>
    </row>
    <row r="185" spans="1:12" x14ac:dyDescent="0.2">
      <c r="A185" s="2">
        <v>16</v>
      </c>
      <c r="B185" s="2">
        <v>8</v>
      </c>
      <c r="C185" s="2">
        <v>2</v>
      </c>
      <c r="D185" s="7">
        <v>8</v>
      </c>
      <c r="E185">
        <f t="shared" si="14"/>
        <v>28.999999999999925</v>
      </c>
      <c r="F185">
        <f t="shared" si="15"/>
        <v>0.48333333333333212</v>
      </c>
      <c r="G185">
        <f t="shared" si="16"/>
        <v>11.420864500435375</v>
      </c>
      <c r="H185">
        <f t="shared" si="17"/>
        <v>16.597145999790339</v>
      </c>
      <c r="I185">
        <f t="shared" si="18"/>
        <v>67.352104787541023</v>
      </c>
      <c r="J185">
        <f t="shared" si="20"/>
        <v>16.956952624512542</v>
      </c>
      <c r="L185">
        <f t="shared" si="19"/>
        <v>0.16956952624512542</v>
      </c>
    </row>
    <row r="186" spans="1:12" x14ac:dyDescent="0.2">
      <c r="A186" s="2">
        <v>16</v>
      </c>
      <c r="B186" s="2">
        <v>8</v>
      </c>
      <c r="C186" s="2">
        <v>2</v>
      </c>
      <c r="D186" s="7">
        <v>8</v>
      </c>
      <c r="E186">
        <f t="shared" si="14"/>
        <v>29.166666666666593</v>
      </c>
      <c r="F186">
        <f t="shared" si="15"/>
        <v>0.48611111111110988</v>
      </c>
      <c r="G186">
        <f t="shared" si="16"/>
        <v>11.575114724074862</v>
      </c>
      <c r="H186">
        <f t="shared" si="17"/>
        <v>16.597145999790339</v>
      </c>
      <c r="I186">
        <f t="shared" si="18"/>
        <v>67.352104787541023</v>
      </c>
      <c r="J186">
        <f t="shared" si="20"/>
        <v>17.185973267781318</v>
      </c>
      <c r="L186">
        <f t="shared" si="19"/>
        <v>0.17185973267781318</v>
      </c>
    </row>
    <row r="187" spans="1:12" x14ac:dyDescent="0.2">
      <c r="A187" s="2">
        <v>16</v>
      </c>
      <c r="B187" s="2">
        <v>8</v>
      </c>
      <c r="C187" s="2">
        <v>2</v>
      </c>
      <c r="D187" s="7">
        <v>8</v>
      </c>
      <c r="E187">
        <f t="shared" si="14"/>
        <v>29.333333333333258</v>
      </c>
      <c r="F187">
        <f t="shared" si="15"/>
        <v>0.48888888888888765</v>
      </c>
      <c r="G187">
        <f t="shared" si="16"/>
        <v>11.724972770994125</v>
      </c>
      <c r="H187">
        <f t="shared" si="17"/>
        <v>16.597145999790339</v>
      </c>
      <c r="I187">
        <f t="shared" si="18"/>
        <v>67.352104787541023</v>
      </c>
      <c r="J187">
        <f t="shared" si="20"/>
        <v>17.408472694327799</v>
      </c>
      <c r="L187">
        <f t="shared" si="19"/>
        <v>0.17408472694327798</v>
      </c>
    </row>
    <row r="188" spans="1:12" x14ac:dyDescent="0.2">
      <c r="A188" s="2">
        <v>16</v>
      </c>
      <c r="B188" s="2">
        <v>8</v>
      </c>
      <c r="C188" s="2">
        <v>2</v>
      </c>
      <c r="D188" s="7">
        <v>8</v>
      </c>
      <c r="E188">
        <f t="shared" si="14"/>
        <v>29.499999999999925</v>
      </c>
      <c r="F188">
        <f t="shared" si="15"/>
        <v>0.49166666666666542</v>
      </c>
      <c r="G188">
        <f t="shared" si="16"/>
        <v>11.870563705623455</v>
      </c>
      <c r="H188">
        <f t="shared" si="17"/>
        <v>16.597145999790339</v>
      </c>
      <c r="I188">
        <f t="shared" si="18"/>
        <v>67.352104787541023</v>
      </c>
      <c r="J188">
        <f t="shared" si="20"/>
        <v>17.624636591638197</v>
      </c>
      <c r="L188">
        <f t="shared" si="19"/>
        <v>0.17624636591638196</v>
      </c>
    </row>
    <row r="189" spans="1:12" x14ac:dyDescent="0.2">
      <c r="A189" s="2">
        <v>16</v>
      </c>
      <c r="B189" s="2">
        <v>8</v>
      </c>
      <c r="C189" s="2">
        <v>2</v>
      </c>
      <c r="D189" s="7">
        <v>8</v>
      </c>
      <c r="E189">
        <f t="shared" si="14"/>
        <v>29.66666666666659</v>
      </c>
      <c r="F189">
        <f t="shared" si="15"/>
        <v>0.49444444444444319</v>
      </c>
      <c r="G189">
        <f t="shared" si="16"/>
        <v>12.012009031263272</v>
      </c>
      <c r="H189">
        <f t="shared" si="17"/>
        <v>16.597145999790339</v>
      </c>
      <c r="I189">
        <f t="shared" si="18"/>
        <v>67.352104787541023</v>
      </c>
      <c r="J189">
        <f t="shared" si="20"/>
        <v>17.834645359865998</v>
      </c>
      <c r="L189">
        <f t="shared" si="19"/>
        <v>0.17834645359865997</v>
      </c>
    </row>
    <row r="190" spans="1:12" x14ac:dyDescent="0.2">
      <c r="A190" s="2">
        <v>16</v>
      </c>
      <c r="B190" s="2">
        <v>8</v>
      </c>
      <c r="C190" s="2">
        <v>2</v>
      </c>
      <c r="D190" s="7">
        <v>8</v>
      </c>
      <c r="E190">
        <f t="shared" si="14"/>
        <v>29.833333333333258</v>
      </c>
      <c r="F190">
        <f t="shared" si="15"/>
        <v>0.49722222222222096</v>
      </c>
      <c r="G190">
        <f t="shared" si="16"/>
        <v>12.14942679148502</v>
      </c>
      <c r="H190">
        <f t="shared" si="17"/>
        <v>16.597145999790339</v>
      </c>
      <c r="I190">
        <f t="shared" si="18"/>
        <v>67.352104787541023</v>
      </c>
      <c r="J190">
        <f t="shared" si="20"/>
        <v>18.038674262385417</v>
      </c>
      <c r="L190">
        <f t="shared" si="19"/>
        <v>0.18038674262385418</v>
      </c>
    </row>
    <row r="191" spans="1:12" x14ac:dyDescent="0.2">
      <c r="A191" s="2">
        <v>16</v>
      </c>
      <c r="B191" s="2">
        <v>8</v>
      </c>
      <c r="C191" s="2">
        <v>2</v>
      </c>
      <c r="D191" s="7">
        <v>8</v>
      </c>
      <c r="E191">
        <f t="shared" si="14"/>
        <v>29.999999999999922</v>
      </c>
      <c r="F191">
        <f t="shared" si="15"/>
        <v>0.49999999999999872</v>
      </c>
      <c r="G191">
        <f t="shared" si="16"/>
        <v>12.282931668644752</v>
      </c>
      <c r="H191">
        <f t="shared" si="17"/>
        <v>16.597145999790339</v>
      </c>
      <c r="I191">
        <f t="shared" si="18"/>
        <v>67.352104787541023</v>
      </c>
      <c r="J191">
        <f t="shared" si="20"/>
        <v>18.236893572057873</v>
      </c>
      <c r="L191">
        <f t="shared" si="19"/>
        <v>0.18236893572057875</v>
      </c>
    </row>
    <row r="192" spans="1:12" x14ac:dyDescent="0.2">
      <c r="A192" s="2">
        <v>16</v>
      </c>
      <c r="B192" s="2">
        <v>16</v>
      </c>
      <c r="C192" s="2">
        <v>4</v>
      </c>
      <c r="D192" s="7">
        <v>16</v>
      </c>
      <c r="E192">
        <f t="shared" si="14"/>
        <v>30.166666666666593</v>
      </c>
      <c r="F192">
        <f t="shared" si="15"/>
        <v>0.50277777777777655</v>
      </c>
      <c r="G192">
        <f t="shared" si="16"/>
        <v>12.892087134386108</v>
      </c>
      <c r="H192">
        <f t="shared" si="17"/>
        <v>33.194291999580678</v>
      </c>
      <c r="I192">
        <f t="shared" si="18"/>
        <v>67.352104787541023</v>
      </c>
      <c r="J192">
        <f t="shared" si="20"/>
        <v>19.141327765559186</v>
      </c>
      <c r="L192">
        <f t="shared" si="19"/>
        <v>0.19141327765559185</v>
      </c>
    </row>
    <row r="193" spans="1:12" x14ac:dyDescent="0.2">
      <c r="A193" s="2">
        <v>16</v>
      </c>
      <c r="B193" s="2">
        <v>16</v>
      </c>
      <c r="C193" s="2">
        <v>4</v>
      </c>
      <c r="D193" s="7">
        <v>16</v>
      </c>
      <c r="E193">
        <f t="shared" si="14"/>
        <v>30.333333333333258</v>
      </c>
      <c r="F193">
        <f t="shared" si="15"/>
        <v>0.50555555555555431</v>
      </c>
      <c r="G193">
        <f t="shared" si="16"/>
        <v>13.483897286827437</v>
      </c>
      <c r="H193">
        <f t="shared" si="17"/>
        <v>33.194291999580678</v>
      </c>
      <c r="I193">
        <f t="shared" si="18"/>
        <v>67.352104787541023</v>
      </c>
      <c r="J193">
        <f t="shared" si="20"/>
        <v>20.020008772349048</v>
      </c>
      <c r="L193">
        <f t="shared" si="19"/>
        <v>0.20020008772349049</v>
      </c>
    </row>
    <row r="194" spans="1:12" x14ac:dyDescent="0.2">
      <c r="A194" s="2">
        <v>16</v>
      </c>
      <c r="B194" s="2">
        <v>16</v>
      </c>
      <c r="C194" s="2">
        <v>4</v>
      </c>
      <c r="D194" s="7">
        <v>16</v>
      </c>
      <c r="E194">
        <f t="shared" si="14"/>
        <v>30.499999999999925</v>
      </c>
      <c r="F194">
        <f t="shared" si="15"/>
        <v>0.50833333333333208</v>
      </c>
      <c r="G194">
        <f t="shared" si="16"/>
        <v>14.058856022700194</v>
      </c>
      <c r="H194">
        <f t="shared" si="17"/>
        <v>33.194291999580678</v>
      </c>
      <c r="I194">
        <f t="shared" si="18"/>
        <v>67.352104787541023</v>
      </c>
      <c r="J194">
        <f t="shared" si="20"/>
        <v>20.873669897990833</v>
      </c>
      <c r="L194">
        <f t="shared" si="19"/>
        <v>0.20873669897990832</v>
      </c>
    </row>
    <row r="195" spans="1:12" x14ac:dyDescent="0.2">
      <c r="A195" s="2">
        <v>16</v>
      </c>
      <c r="B195" s="2">
        <v>16</v>
      </c>
      <c r="C195" s="2">
        <v>4</v>
      </c>
      <c r="D195" s="7">
        <v>16</v>
      </c>
      <c r="E195">
        <f t="shared" si="14"/>
        <v>30.66666666666659</v>
      </c>
      <c r="F195">
        <f t="shared" si="15"/>
        <v>0.51111111111110985</v>
      </c>
      <c r="G195">
        <f t="shared" si="16"/>
        <v>14.617443175341466</v>
      </c>
      <c r="H195">
        <f t="shared" si="17"/>
        <v>33.194291999580678</v>
      </c>
      <c r="I195">
        <f t="shared" si="18"/>
        <v>67.352104787541023</v>
      </c>
      <c r="J195">
        <f t="shared" si="20"/>
        <v>21.703023567639775</v>
      </c>
      <c r="L195">
        <f t="shared" si="19"/>
        <v>0.21703023567639776</v>
      </c>
    </row>
    <row r="196" spans="1:12" x14ac:dyDescent="0.2">
      <c r="A196" s="2">
        <v>16</v>
      </c>
      <c r="B196" s="2">
        <v>16</v>
      </c>
      <c r="C196" s="2">
        <v>4</v>
      </c>
      <c r="D196" s="7">
        <v>16</v>
      </c>
      <c r="E196">
        <f t="shared" si="14"/>
        <v>30.833333333333258</v>
      </c>
      <c r="F196">
        <f t="shared" si="15"/>
        <v>0.51388888888888762</v>
      </c>
      <c r="G196">
        <f t="shared" si="16"/>
        <v>15.160124915140154</v>
      </c>
      <c r="H196">
        <f t="shared" si="17"/>
        <v>33.194291999580678</v>
      </c>
      <c r="I196">
        <f t="shared" si="18"/>
        <v>67.352104787541023</v>
      </c>
      <c r="J196">
        <f t="shared" si="20"/>
        <v>22.508761920599273</v>
      </c>
      <c r="L196">
        <f t="shared" si="19"/>
        <v>0.22508761920599274</v>
      </c>
    </row>
    <row r="197" spans="1:12" x14ac:dyDescent="0.2">
      <c r="A197" s="2">
        <v>16</v>
      </c>
      <c r="B197" s="2">
        <v>16</v>
      </c>
      <c r="C197" s="2">
        <v>4</v>
      </c>
      <c r="D197" s="7">
        <v>16</v>
      </c>
      <c r="E197">
        <f t="shared" si="14"/>
        <v>30.999999999999922</v>
      </c>
      <c r="F197">
        <f t="shared" si="15"/>
        <v>0.51666666666666539</v>
      </c>
      <c r="G197">
        <f t="shared" si="16"/>
        <v>15.687354138580714</v>
      </c>
      <c r="H197">
        <f t="shared" si="17"/>
        <v>33.194291999580678</v>
      </c>
      <c r="I197">
        <f t="shared" si="18"/>
        <v>67.352104787541023</v>
      </c>
      <c r="J197">
        <f t="shared" si="20"/>
        <v>23.291557387947588</v>
      </c>
      <c r="L197">
        <f t="shared" si="19"/>
        <v>0.23291557387947587</v>
      </c>
    </row>
    <row r="198" spans="1:12" x14ac:dyDescent="0.2">
      <c r="A198" s="2">
        <v>8</v>
      </c>
      <c r="B198" s="2">
        <v>16</v>
      </c>
      <c r="C198" s="2">
        <v>4</v>
      </c>
      <c r="D198" s="7">
        <v>16</v>
      </c>
      <c r="E198">
        <f t="shared" si="14"/>
        <v>31.16666666666659</v>
      </c>
      <c r="F198">
        <f t="shared" si="15"/>
        <v>0.51944444444444315</v>
      </c>
      <c r="G198">
        <f t="shared" si="16"/>
        <v>16.199570846209117</v>
      </c>
      <c r="H198">
        <f t="shared" si="17"/>
        <v>33.194291999580678</v>
      </c>
      <c r="I198">
        <f t="shared" si="18"/>
        <v>67.352104787541023</v>
      </c>
      <c r="J198">
        <f t="shared" si="20"/>
        <v>24.052063253716991</v>
      </c>
      <c r="L198">
        <f t="shared" si="19"/>
        <v>0.2405206325371699</v>
      </c>
    </row>
    <row r="199" spans="1:12" x14ac:dyDescent="0.2">
      <c r="A199" s="2">
        <v>8</v>
      </c>
      <c r="B199" s="2">
        <v>16</v>
      </c>
      <c r="C199" s="2">
        <v>4</v>
      </c>
      <c r="D199" s="7">
        <v>16</v>
      </c>
      <c r="E199">
        <f t="shared" si="14"/>
        <v>31.333333333333254</v>
      </c>
      <c r="F199">
        <f t="shared" si="15"/>
        <v>0.52222222222222092</v>
      </c>
      <c r="G199">
        <f t="shared" si="16"/>
        <v>16.697202509836462</v>
      </c>
      <c r="H199">
        <f t="shared" si="17"/>
        <v>33.194291999580678</v>
      </c>
      <c r="I199">
        <f t="shared" si="18"/>
        <v>67.352104787541023</v>
      </c>
      <c r="J199">
        <f t="shared" si="20"/>
        <v>24.790914200093649</v>
      </c>
      <c r="L199">
        <f t="shared" si="19"/>
        <v>0.2479091420009365</v>
      </c>
    </row>
    <row r="200" spans="1:12" x14ac:dyDescent="0.2">
      <c r="A200" s="2">
        <v>8</v>
      </c>
      <c r="B200" s="2">
        <v>16</v>
      </c>
      <c r="C200" s="2">
        <v>4</v>
      </c>
      <c r="D200" s="7">
        <v>16</v>
      </c>
      <c r="E200">
        <f t="shared" si="14"/>
        <v>31.499999999999922</v>
      </c>
      <c r="F200">
        <f t="shared" si="15"/>
        <v>0.52499999999999869</v>
      </c>
      <c r="G200">
        <f t="shared" si="16"/>
        <v>17.180664429286722</v>
      </c>
      <c r="H200">
        <f t="shared" si="17"/>
        <v>33.194291999580678</v>
      </c>
      <c r="I200">
        <f t="shared" si="18"/>
        <v>67.352104787541023</v>
      </c>
      <c r="J200">
        <f t="shared" si="20"/>
        <v>25.508726837093366</v>
      </c>
      <c r="L200">
        <f t="shared" si="19"/>
        <v>0.25508726837093365</v>
      </c>
    </row>
    <row r="201" spans="1:12" x14ac:dyDescent="0.2">
      <c r="A201" s="2">
        <v>8</v>
      </c>
      <c r="B201" s="2">
        <v>16</v>
      </c>
      <c r="C201" s="2">
        <v>4</v>
      </c>
      <c r="D201" s="7">
        <v>16</v>
      </c>
      <c r="E201">
        <f t="shared" si="14"/>
        <v>31.666666666666586</v>
      </c>
      <c r="F201">
        <f t="shared" si="15"/>
        <v>0.52777777777777646</v>
      </c>
      <c r="G201">
        <f t="shared" si="16"/>
        <v>17.650360078986303</v>
      </c>
      <c r="H201">
        <f t="shared" si="17"/>
        <v>33.194291999580678</v>
      </c>
      <c r="I201">
        <f t="shared" si="18"/>
        <v>67.352104787541023</v>
      </c>
      <c r="J201">
        <f t="shared" si="20"/>
        <v>26.206100217155075</v>
      </c>
      <c r="L201">
        <f t="shared" si="19"/>
        <v>0.26206100217155076</v>
      </c>
    </row>
    <row r="202" spans="1:12" x14ac:dyDescent="0.2">
      <c r="A202" s="2">
        <v>8</v>
      </c>
      <c r="B202" s="2">
        <v>16</v>
      </c>
      <c r="C202" s="2">
        <v>4</v>
      </c>
      <c r="D202" s="7">
        <v>16</v>
      </c>
      <c r="E202">
        <f t="shared" si="14"/>
        <v>31.833333333333254</v>
      </c>
      <c r="F202">
        <f t="shared" si="15"/>
        <v>0.53055555555555423</v>
      </c>
      <c r="G202">
        <f t="shared" si="16"/>
        <v>18.1066814446847</v>
      </c>
      <c r="H202">
        <f t="shared" si="17"/>
        <v>33.194291999580678</v>
      </c>
      <c r="I202">
        <f t="shared" si="18"/>
        <v>67.352104787541023</v>
      </c>
      <c r="J202">
        <f t="shared" si="20"/>
        <v>26.883616335081665</v>
      </c>
      <c r="L202">
        <f t="shared" si="19"/>
        <v>0.26883616335081667</v>
      </c>
    </row>
    <row r="203" spans="1:12" x14ac:dyDescent="0.2">
      <c r="A203" s="2">
        <v>8</v>
      </c>
      <c r="B203" s="2">
        <v>16</v>
      </c>
      <c r="C203" s="2">
        <v>4</v>
      </c>
      <c r="D203" s="7">
        <v>16</v>
      </c>
      <c r="E203">
        <f t="shared" si="14"/>
        <v>31.999999999999918</v>
      </c>
      <c r="F203">
        <f t="shared" si="15"/>
        <v>0.53333333333333199</v>
      </c>
      <c r="G203">
        <f t="shared" si="16"/>
        <v>18.550009350587246</v>
      </c>
      <c r="H203">
        <f t="shared" si="17"/>
        <v>33.194291999580678</v>
      </c>
      <c r="I203">
        <f t="shared" si="18"/>
        <v>67.352104787541023</v>
      </c>
      <c r="J203">
        <f t="shared" si="20"/>
        <v>27.541840613745272</v>
      </c>
      <c r="L203">
        <f t="shared" si="19"/>
        <v>0.27541840613745272</v>
      </c>
    </row>
    <row r="204" spans="1:12" x14ac:dyDescent="0.2">
      <c r="A204" s="2">
        <v>8</v>
      </c>
      <c r="B204" s="2">
        <v>16</v>
      </c>
      <c r="C204" s="2">
        <v>4</v>
      </c>
      <c r="D204" s="7">
        <v>16</v>
      </c>
      <c r="E204">
        <f t="shared" ref="E204:E267" si="21">F204*60</f>
        <v>32.166666666666586</v>
      </c>
      <c r="F204">
        <f t="shared" ref="F204:F267" si="22">Tsamp+F203</f>
        <v>0.53611111111110976</v>
      </c>
      <c r="G204">
        <f t="shared" ref="G204:G267" si="23">Tsamp*$D204*G$3/G$5+G$8*G203</f>
        <v>18.980713777172955</v>
      </c>
      <c r="H204">
        <f t="shared" ref="H204:H267" si="24">$D204*$G$3/$G$6</f>
        <v>33.194291999580678</v>
      </c>
      <c r="I204">
        <f t="shared" ref="I204:I267" si="25">Tsamp*32*$G$3/($G$5*(1-$G$8))</f>
        <v>67.352104787541023</v>
      </c>
      <c r="J204">
        <f t="shared" si="20"/>
        <v>28.18132237596242</v>
      </c>
      <c r="L204">
        <f t="shared" ref="L204:L267" si="26">$J204/100</f>
        <v>0.2818132237596242</v>
      </c>
    </row>
    <row r="205" spans="1:12" x14ac:dyDescent="0.2">
      <c r="A205" s="2">
        <v>8</v>
      </c>
      <c r="B205" s="2">
        <v>16</v>
      </c>
      <c r="C205" s="2">
        <v>4</v>
      </c>
      <c r="D205" s="7">
        <v>16</v>
      </c>
      <c r="E205">
        <f t="shared" si="21"/>
        <v>32.33333333333325</v>
      </c>
      <c r="F205">
        <f t="shared" si="22"/>
        <v>0.53888888888888753</v>
      </c>
      <c r="G205">
        <f t="shared" si="23"/>
        <v>19.399154169962717</v>
      </c>
      <c r="H205">
        <f t="shared" si="24"/>
        <v>33.194291999580678</v>
      </c>
      <c r="I205">
        <f t="shared" si="25"/>
        <v>67.352104787541023</v>
      </c>
      <c r="J205">
        <f t="shared" ref="J205:J268" si="27">$G205/$I205*100</f>
        <v>28.802595302932872</v>
      </c>
      <c r="L205">
        <f t="shared" si="26"/>
        <v>0.28802595302932871</v>
      </c>
    </row>
    <row r="206" spans="1:12" x14ac:dyDescent="0.2">
      <c r="A206" s="2">
        <v>8</v>
      </c>
      <c r="B206" s="2">
        <v>16</v>
      </c>
      <c r="C206" s="2">
        <v>4</v>
      </c>
      <c r="D206" s="7">
        <v>16</v>
      </c>
      <c r="E206">
        <f t="shared" si="21"/>
        <v>32.499999999999915</v>
      </c>
      <c r="F206">
        <f t="shared" si="22"/>
        <v>0.5416666666666653</v>
      </c>
      <c r="G206">
        <f t="shared" si="23"/>
        <v>19.805679739495513</v>
      </c>
      <c r="H206">
        <f t="shared" si="24"/>
        <v>33.194291999580678</v>
      </c>
      <c r="I206">
        <f t="shared" si="25"/>
        <v>67.352104787541023</v>
      </c>
      <c r="J206">
        <f t="shared" si="27"/>
        <v>29.406177879624668</v>
      </c>
      <c r="L206">
        <f t="shared" si="26"/>
        <v>0.29406177879624668</v>
      </c>
    </row>
    <row r="207" spans="1:12" x14ac:dyDescent="0.2">
      <c r="A207" s="2">
        <v>8</v>
      </c>
      <c r="B207" s="2">
        <v>16</v>
      </c>
      <c r="C207" s="2">
        <v>4</v>
      </c>
      <c r="D207" s="7">
        <v>16</v>
      </c>
      <c r="E207">
        <f t="shared" si="21"/>
        <v>32.666666666666586</v>
      </c>
      <c r="F207">
        <f t="shared" si="22"/>
        <v>0.54444444444444307</v>
      </c>
      <c r="G207">
        <f t="shared" si="23"/>
        <v>20.200629752762985</v>
      </c>
      <c r="H207">
        <f t="shared" si="24"/>
        <v>33.194291999580678</v>
      </c>
      <c r="I207">
        <f t="shared" si="25"/>
        <v>67.352104787541023</v>
      </c>
      <c r="J207">
        <f t="shared" si="27"/>
        <v>29.992573827477109</v>
      </c>
      <c r="L207">
        <f t="shared" si="26"/>
        <v>0.29992573827477109</v>
      </c>
    </row>
    <row r="208" spans="1:12" x14ac:dyDescent="0.2">
      <c r="A208" s="2">
        <v>8</v>
      </c>
      <c r="B208" s="2">
        <v>16</v>
      </c>
      <c r="C208" s="2">
        <v>4</v>
      </c>
      <c r="D208" s="7">
        <v>16</v>
      </c>
      <c r="E208">
        <f t="shared" si="21"/>
        <v>32.83333333333325</v>
      </c>
      <c r="F208">
        <f t="shared" si="22"/>
        <v>0.54722222222222083</v>
      </c>
      <c r="G208">
        <f t="shared" si="23"/>
        <v>20.584333816345616</v>
      </c>
      <c r="H208">
        <f t="shared" si="24"/>
        <v>33.194291999580678</v>
      </c>
      <c r="I208">
        <f t="shared" si="25"/>
        <v>67.352104787541023</v>
      </c>
      <c r="J208">
        <f t="shared" si="27"/>
        <v>30.56227252478287</v>
      </c>
      <c r="L208">
        <f t="shared" si="26"/>
        <v>0.30562272524782869</v>
      </c>
    </row>
    <row r="209" spans="1:12" x14ac:dyDescent="0.2">
      <c r="A209" s="2">
        <v>8</v>
      </c>
      <c r="B209" s="2">
        <v>16</v>
      </c>
      <c r="C209" s="2">
        <v>4</v>
      </c>
      <c r="D209" s="7">
        <v>16</v>
      </c>
      <c r="E209">
        <f t="shared" si="21"/>
        <v>32.999999999999915</v>
      </c>
      <c r="F209">
        <f t="shared" si="22"/>
        <v>0.5499999999999986</v>
      </c>
      <c r="G209">
        <f t="shared" si="23"/>
        <v>20.957112151486768</v>
      </c>
      <c r="H209">
        <f t="shared" si="24"/>
        <v>33.194291999580678</v>
      </c>
      <c r="I209">
        <f t="shared" si="25"/>
        <v>67.352104787541023</v>
      </c>
      <c r="J209">
        <f t="shared" si="27"/>
        <v>31.115749415099902</v>
      </c>
      <c r="L209">
        <f t="shared" si="26"/>
        <v>0.31115749415099903</v>
      </c>
    </row>
    <row r="210" spans="1:12" x14ac:dyDescent="0.2">
      <c r="A210" s="2">
        <v>8</v>
      </c>
      <c r="B210" s="2">
        <v>16</v>
      </c>
      <c r="C210" s="2">
        <v>4</v>
      </c>
      <c r="D210" s="7">
        <v>16</v>
      </c>
      <c r="E210">
        <f t="shared" si="21"/>
        <v>33.166666666666579</v>
      </c>
      <c r="F210">
        <f t="shared" si="22"/>
        <v>0.55277777777777637</v>
      </c>
      <c r="G210">
        <f t="shared" si="23"/>
        <v>21.31927586133417</v>
      </c>
      <c r="H210">
        <f t="shared" si="24"/>
        <v>33.194291999580678</v>
      </c>
      <c r="I210">
        <f t="shared" si="25"/>
        <v>67.352104787541023</v>
      </c>
      <c r="J210">
        <f t="shared" si="27"/>
        <v>31.653466404034141</v>
      </c>
      <c r="L210">
        <f t="shared" si="26"/>
        <v>0.31653466404034142</v>
      </c>
    </row>
    <row r="211" spans="1:12" x14ac:dyDescent="0.2">
      <c r="A211" s="2">
        <v>8</v>
      </c>
      <c r="B211" s="2">
        <v>16</v>
      </c>
      <c r="C211" s="2">
        <v>4</v>
      </c>
      <c r="D211" s="7">
        <v>16</v>
      </c>
      <c r="E211">
        <f t="shared" si="21"/>
        <v>33.33333333333325</v>
      </c>
      <c r="F211">
        <f t="shared" si="22"/>
        <v>0.55555555555555414</v>
      </c>
      <c r="G211">
        <f t="shared" si="23"/>
        <v>21.671127190571873</v>
      </c>
      <c r="H211">
        <f t="shared" si="24"/>
        <v>33.194291999580678</v>
      </c>
      <c r="I211">
        <f t="shared" si="25"/>
        <v>67.352104787541023</v>
      </c>
      <c r="J211">
        <f t="shared" si="27"/>
        <v>32.175872244724054</v>
      </c>
      <c r="L211">
        <f t="shared" si="26"/>
        <v>0.32175872244724052</v>
      </c>
    </row>
    <row r="212" spans="1:12" x14ac:dyDescent="0.2">
      <c r="A212" s="2">
        <v>8</v>
      </c>
      <c r="B212" s="2">
        <v>16</v>
      </c>
      <c r="C212" s="2">
        <v>4</v>
      </c>
      <c r="D212" s="7">
        <v>16</v>
      </c>
      <c r="E212">
        <f t="shared" si="21"/>
        <v>33.499999999999915</v>
      </c>
      <c r="F212">
        <f t="shared" si="22"/>
        <v>0.5583333333333319</v>
      </c>
      <c r="G212">
        <f t="shared" si="23"/>
        <v>22.012959777659358</v>
      </c>
      <c r="H212">
        <f t="shared" si="24"/>
        <v>33.194291999580678</v>
      </c>
      <c r="I212">
        <f t="shared" si="25"/>
        <v>67.352104787541023</v>
      </c>
      <c r="J212">
        <f t="shared" si="27"/>
        <v>32.68340291234874</v>
      </c>
      <c r="L212">
        <f t="shared" si="26"/>
        <v>0.32683402912348741</v>
      </c>
    </row>
    <row r="213" spans="1:12" x14ac:dyDescent="0.2">
      <c r="A213" s="2">
        <v>8</v>
      </c>
      <c r="B213" s="2">
        <v>16</v>
      </c>
      <c r="C213" s="2">
        <v>4</v>
      </c>
      <c r="D213" s="7">
        <v>16</v>
      </c>
      <c r="E213">
        <f t="shared" si="21"/>
        <v>33.666666666666579</v>
      </c>
      <c r="F213">
        <f t="shared" si="22"/>
        <v>0.56111111111110967</v>
      </c>
      <c r="G213">
        <f t="shared" si="23"/>
        <v>22.345058899888286</v>
      </c>
      <c r="H213">
        <f t="shared" si="24"/>
        <v>33.194291999580678</v>
      </c>
      <c r="I213">
        <f t="shared" si="25"/>
        <v>67.352104787541023</v>
      </c>
      <c r="J213">
        <f t="shared" si="27"/>
        <v>33.176481967972201</v>
      </c>
      <c r="L213">
        <f t="shared" si="26"/>
        <v>0.33176481967972199</v>
      </c>
    </row>
    <row r="214" spans="1:12" x14ac:dyDescent="0.2">
      <c r="A214" s="2">
        <v>4</v>
      </c>
      <c r="B214" s="2">
        <v>16</v>
      </c>
      <c r="C214" s="2">
        <v>4</v>
      </c>
      <c r="D214" s="7">
        <v>16</v>
      </c>
      <c r="E214">
        <f t="shared" si="21"/>
        <v>33.833333333333243</v>
      </c>
      <c r="F214">
        <f t="shared" si="22"/>
        <v>0.56388888888888744</v>
      </c>
      <c r="G214">
        <f t="shared" si="23"/>
        <v>22.667701711461422</v>
      </c>
      <c r="H214">
        <f t="shared" si="24"/>
        <v>33.194291999580678</v>
      </c>
      <c r="I214">
        <f t="shared" si="25"/>
        <v>67.352104787541023</v>
      </c>
      <c r="J214">
        <f t="shared" si="27"/>
        <v>33.65552091202732</v>
      </c>
      <c r="L214">
        <f t="shared" si="26"/>
        <v>0.3365552091202732</v>
      </c>
    </row>
    <row r="215" spans="1:12" x14ac:dyDescent="0.2">
      <c r="A215" s="2">
        <v>4</v>
      </c>
      <c r="B215" s="2">
        <v>16</v>
      </c>
      <c r="C215" s="2">
        <v>4</v>
      </c>
      <c r="D215" s="7">
        <v>16</v>
      </c>
      <c r="E215">
        <f t="shared" si="21"/>
        <v>33.999999999999915</v>
      </c>
      <c r="F215">
        <f t="shared" si="22"/>
        <v>0.56666666666666521</v>
      </c>
      <c r="G215">
        <f t="shared" si="23"/>
        <v>22.981157474792408</v>
      </c>
      <c r="H215">
        <f t="shared" si="24"/>
        <v>33.194291999580678</v>
      </c>
      <c r="I215">
        <f t="shared" si="25"/>
        <v>67.352104787541023</v>
      </c>
      <c r="J215">
        <f t="shared" si="27"/>
        <v>34.120919527734678</v>
      </c>
      <c r="L215">
        <f t="shared" si="26"/>
        <v>0.34120919527734678</v>
      </c>
    </row>
    <row r="216" spans="1:12" x14ac:dyDescent="0.2">
      <c r="A216" s="2">
        <v>4</v>
      </c>
      <c r="B216" s="2">
        <v>16</v>
      </c>
      <c r="C216" s="2">
        <v>4</v>
      </c>
      <c r="D216" s="7">
        <v>16</v>
      </c>
      <c r="E216">
        <f t="shared" si="21"/>
        <v>34.166666666666579</v>
      </c>
      <c r="F216">
        <f t="shared" si="22"/>
        <v>0.56944444444444298</v>
      </c>
      <c r="G216">
        <f t="shared" si="23"/>
        <v>23.285687785219416</v>
      </c>
      <c r="H216">
        <f t="shared" si="24"/>
        <v>33.194291999580678</v>
      </c>
      <c r="I216">
        <f t="shared" si="25"/>
        <v>67.352104787541023</v>
      </c>
      <c r="J216">
        <f t="shared" si="27"/>
        <v>34.573066214742653</v>
      </c>
      <c r="L216">
        <f t="shared" si="26"/>
        <v>0.34573066214742654</v>
      </c>
    </row>
    <row r="217" spans="1:12" x14ac:dyDescent="0.2">
      <c r="A217" s="2">
        <v>4</v>
      </c>
      <c r="B217" s="2">
        <v>16</v>
      </c>
      <c r="C217" s="2">
        <v>4</v>
      </c>
      <c r="D217" s="7">
        <v>16</v>
      </c>
      <c r="E217">
        <f t="shared" si="21"/>
        <v>34.333333333333243</v>
      </c>
      <c r="F217">
        <f t="shared" si="22"/>
        <v>0.57222222222222074</v>
      </c>
      <c r="G217">
        <f t="shared" si="23"/>
        <v>23.581546789320242</v>
      </c>
      <c r="H217">
        <f t="shared" si="24"/>
        <v>33.194291999580678</v>
      </c>
      <c r="I217">
        <f t="shared" si="25"/>
        <v>67.352104787541023</v>
      </c>
      <c r="J217">
        <f t="shared" si="27"/>
        <v>35.012338313267414</v>
      </c>
      <c r="L217">
        <f t="shared" si="26"/>
        <v>0.35012338313267416</v>
      </c>
    </row>
    <row r="218" spans="1:12" x14ac:dyDescent="0.2">
      <c r="A218" s="2">
        <v>4</v>
      </c>
      <c r="B218" s="2">
        <v>16</v>
      </c>
      <c r="C218" s="2">
        <v>4</v>
      </c>
      <c r="D218" s="7">
        <v>16</v>
      </c>
      <c r="E218">
        <f t="shared" si="21"/>
        <v>34.499999999999908</v>
      </c>
      <c r="F218">
        <f t="shared" si="22"/>
        <v>0.57499999999999851</v>
      </c>
      <c r="G218">
        <f t="shared" si="23"/>
        <v>23.868981397011005</v>
      </c>
      <c r="H218">
        <f t="shared" si="24"/>
        <v>33.194291999580678</v>
      </c>
      <c r="I218">
        <f t="shared" si="25"/>
        <v>67.352104787541023</v>
      </c>
      <c r="J218">
        <f t="shared" si="27"/>
        <v>35.439102419003177</v>
      </c>
      <c r="L218">
        <f t="shared" si="26"/>
        <v>0.35439102419003177</v>
      </c>
    </row>
    <row r="219" spans="1:12" x14ac:dyDescent="0.2">
      <c r="A219" s="2">
        <v>4</v>
      </c>
      <c r="B219" s="2">
        <v>16</v>
      </c>
      <c r="C219" s="2">
        <v>4</v>
      </c>
      <c r="D219" s="7">
        <v>16</v>
      </c>
      <c r="E219">
        <f t="shared" si="21"/>
        <v>34.666666666666579</v>
      </c>
      <c r="F219">
        <f t="shared" si="22"/>
        <v>0.57777777777777628</v>
      </c>
      <c r="G219">
        <f t="shared" si="23"/>
        <v>24.148231487605464</v>
      </c>
      <c r="H219">
        <f t="shared" si="24"/>
        <v>33.194291999580678</v>
      </c>
      <c r="I219">
        <f t="shared" si="25"/>
        <v>67.352104787541023</v>
      </c>
      <c r="J219">
        <f t="shared" si="27"/>
        <v>35.853714689065619</v>
      </c>
      <c r="L219">
        <f t="shared" si="26"/>
        <v>0.35853714689065619</v>
      </c>
    </row>
    <row r="220" spans="1:12" x14ac:dyDescent="0.2">
      <c r="A220" s="2">
        <v>4</v>
      </c>
      <c r="B220" s="2">
        <v>16</v>
      </c>
      <c r="C220" s="2">
        <v>4</v>
      </c>
      <c r="D220" s="7">
        <v>16</v>
      </c>
      <c r="E220">
        <f t="shared" si="21"/>
        <v>34.833333333333243</v>
      </c>
      <c r="F220">
        <f t="shared" si="22"/>
        <v>0.58055555555555405</v>
      </c>
      <c r="G220">
        <f t="shared" si="23"/>
        <v>24.419530110006946</v>
      </c>
      <c r="H220">
        <f t="shared" si="24"/>
        <v>33.194291999580678</v>
      </c>
      <c r="I220">
        <f t="shared" si="25"/>
        <v>67.352104787541023</v>
      </c>
      <c r="J220">
        <f t="shared" si="27"/>
        <v>36.256521139223757</v>
      </c>
      <c r="L220">
        <f t="shared" si="26"/>
        <v>0.36256521139223757</v>
      </c>
    </row>
    <row r="221" spans="1:12" x14ac:dyDescent="0.2">
      <c r="A221" s="2">
        <v>4</v>
      </c>
      <c r="B221" s="2">
        <v>16</v>
      </c>
      <c r="C221" s="2">
        <v>4</v>
      </c>
      <c r="D221" s="7">
        <v>16</v>
      </c>
      <c r="E221">
        <f t="shared" si="21"/>
        <v>34.999999999999908</v>
      </c>
      <c r="F221">
        <f t="shared" si="22"/>
        <v>0.58333333333333182</v>
      </c>
      <c r="G221">
        <f t="shared" si="23"/>
        <v>24.683103677199917</v>
      </c>
      <c r="H221">
        <f t="shared" si="24"/>
        <v>33.194291999580678</v>
      </c>
      <c r="I221">
        <f t="shared" si="25"/>
        <v>67.352104787541023</v>
      </c>
      <c r="J221">
        <f t="shared" si="27"/>
        <v>36.647857932668302</v>
      </c>
      <c r="L221">
        <f t="shared" si="26"/>
        <v>0.36647857932668304</v>
      </c>
    </row>
    <row r="222" spans="1:12" x14ac:dyDescent="0.2">
      <c r="A222" s="2">
        <v>4</v>
      </c>
      <c r="B222" s="2">
        <v>32</v>
      </c>
      <c r="C222" s="2">
        <v>4</v>
      </c>
      <c r="D222" s="7">
        <v>32</v>
      </c>
      <c r="E222">
        <f t="shared" si="21"/>
        <v>35.166666666666572</v>
      </c>
      <c r="F222">
        <f t="shared" si="22"/>
        <v>0.58611111111110958</v>
      </c>
      <c r="G222">
        <f t="shared" si="23"/>
        <v>25.898076264792579</v>
      </c>
      <c r="H222">
        <f t="shared" si="24"/>
        <v>66.388583999161355</v>
      </c>
      <c r="I222">
        <f t="shared" si="25"/>
        <v>67.352104787541023</v>
      </c>
      <c r="J222">
        <f t="shared" si="27"/>
        <v>38.451769765008557</v>
      </c>
      <c r="L222">
        <f t="shared" si="26"/>
        <v>0.38451769765008559</v>
      </c>
    </row>
    <row r="223" spans="1:12" x14ac:dyDescent="0.2">
      <c r="A223" s="2">
        <v>4</v>
      </c>
      <c r="B223" s="2">
        <v>32</v>
      </c>
      <c r="C223" s="2">
        <v>4</v>
      </c>
      <c r="D223" s="7">
        <v>32</v>
      </c>
      <c r="E223">
        <f t="shared" si="21"/>
        <v>35.333333333333243</v>
      </c>
      <c r="F223">
        <f t="shared" si="22"/>
        <v>0.58888888888888735</v>
      </c>
      <c r="G223">
        <f t="shared" si="23"/>
        <v>27.078453282997891</v>
      </c>
      <c r="H223">
        <f t="shared" si="24"/>
        <v>66.388583999161355</v>
      </c>
      <c r="I223">
        <f t="shared" si="25"/>
        <v>67.352104787541023</v>
      </c>
      <c r="J223">
        <f t="shared" si="27"/>
        <v>40.20431635865809</v>
      </c>
      <c r="L223">
        <f t="shared" si="26"/>
        <v>0.40204316358658088</v>
      </c>
    </row>
    <row r="224" spans="1:12" x14ac:dyDescent="0.2">
      <c r="A224" s="2">
        <v>4</v>
      </c>
      <c r="B224" s="2">
        <v>32</v>
      </c>
      <c r="C224" s="2">
        <v>4</v>
      </c>
      <c r="D224" s="7">
        <v>32</v>
      </c>
      <c r="E224">
        <f t="shared" si="21"/>
        <v>35.499999999999908</v>
      </c>
      <c r="F224">
        <f t="shared" si="22"/>
        <v>0.59166666666666512</v>
      </c>
      <c r="G224">
        <f t="shared" si="23"/>
        <v>28.22521981858527</v>
      </c>
      <c r="H224">
        <f t="shared" si="24"/>
        <v>66.388583999161355</v>
      </c>
      <c r="I224">
        <f t="shared" si="25"/>
        <v>67.352104787541023</v>
      </c>
      <c r="J224">
        <f t="shared" si="27"/>
        <v>41.906960306022164</v>
      </c>
      <c r="L224">
        <f t="shared" si="26"/>
        <v>0.41906960306022162</v>
      </c>
    </row>
    <row r="225" spans="1:12" x14ac:dyDescent="0.2">
      <c r="A225" s="2">
        <v>4</v>
      </c>
      <c r="B225" s="2">
        <v>32</v>
      </c>
      <c r="C225" s="2">
        <v>4</v>
      </c>
      <c r="D225" s="7">
        <v>32</v>
      </c>
      <c r="E225">
        <f t="shared" si="21"/>
        <v>35.666666666666572</v>
      </c>
      <c r="F225">
        <f t="shared" si="22"/>
        <v>0.59444444444444289</v>
      </c>
      <c r="G225">
        <f t="shared" si="23"/>
        <v>29.33933290860676</v>
      </c>
      <c r="H225">
        <f t="shared" si="24"/>
        <v>66.388583999161355</v>
      </c>
      <c r="I225">
        <f t="shared" si="25"/>
        <v>67.352104787541023</v>
      </c>
      <c r="J225">
        <f t="shared" si="27"/>
        <v>43.561122553120313</v>
      </c>
      <c r="L225">
        <f t="shared" si="26"/>
        <v>0.43561122553120313</v>
      </c>
    </row>
    <row r="226" spans="1:12" x14ac:dyDescent="0.2">
      <c r="A226" s="2">
        <v>4</v>
      </c>
      <c r="B226" s="2">
        <v>32</v>
      </c>
      <c r="C226" s="2">
        <v>4</v>
      </c>
      <c r="D226" s="7">
        <v>32</v>
      </c>
      <c r="E226">
        <f t="shared" si="21"/>
        <v>35.833333333333236</v>
      </c>
      <c r="F226">
        <f t="shared" si="22"/>
        <v>0.59722222222222066</v>
      </c>
      <c r="G226">
        <f t="shared" si="23"/>
        <v>30.421722339094863</v>
      </c>
      <c r="H226">
        <f t="shared" si="24"/>
        <v>66.388583999161355</v>
      </c>
      <c r="I226">
        <f t="shared" si="25"/>
        <v>67.352104787541023</v>
      </c>
      <c r="J226">
        <f t="shared" si="27"/>
        <v>45.168183585440609</v>
      </c>
      <c r="L226">
        <f t="shared" si="26"/>
        <v>0.45168183585440608</v>
      </c>
    </row>
    <row r="227" spans="1:12" x14ac:dyDescent="0.2">
      <c r="A227" s="2">
        <v>4</v>
      </c>
      <c r="B227" s="2">
        <v>32</v>
      </c>
      <c r="C227" s="2">
        <v>4</v>
      </c>
      <c r="D227" s="7">
        <v>32</v>
      </c>
      <c r="E227">
        <f t="shared" si="21"/>
        <v>35.999999999999908</v>
      </c>
      <c r="F227">
        <f t="shared" si="22"/>
        <v>0.59999999999999842</v>
      </c>
      <c r="G227">
        <f t="shared" si="23"/>
        <v>31.473291421017919</v>
      </c>
      <c r="H227">
        <f t="shared" si="24"/>
        <v>66.388583999161355</v>
      </c>
      <c r="I227">
        <f t="shared" si="25"/>
        <v>67.352104787541023</v>
      </c>
      <c r="J227">
        <f t="shared" si="27"/>
        <v>46.72948458002746</v>
      </c>
      <c r="L227">
        <f t="shared" si="26"/>
        <v>0.46729484580027458</v>
      </c>
    </row>
    <row r="228" spans="1:12" x14ac:dyDescent="0.2">
      <c r="A228" s="2">
        <v>4</v>
      </c>
      <c r="B228" s="2">
        <v>32</v>
      </c>
      <c r="C228" s="2">
        <v>4</v>
      </c>
      <c r="D228" s="7">
        <v>32</v>
      </c>
      <c r="E228">
        <f t="shared" si="21"/>
        <v>36.166666666666572</v>
      </c>
      <c r="F228">
        <f t="shared" si="22"/>
        <v>0.60277777777777619</v>
      </c>
      <c r="G228">
        <f t="shared" si="23"/>
        <v>32.494917744140679</v>
      </c>
      <c r="H228">
        <f t="shared" si="24"/>
        <v>66.388583999161355</v>
      </c>
      <c r="I228">
        <f t="shared" si="25"/>
        <v>67.352104787541023</v>
      </c>
      <c r="J228">
        <f t="shared" si="27"/>
        <v>48.2463285247645</v>
      </c>
      <c r="L228">
        <f t="shared" si="26"/>
        <v>0.48246328524764498</v>
      </c>
    </row>
    <row r="229" spans="1:12" x14ac:dyDescent="0.2">
      <c r="A229" s="2">
        <v>4</v>
      </c>
      <c r="B229" s="2">
        <v>32</v>
      </c>
      <c r="C229" s="2">
        <v>4</v>
      </c>
      <c r="D229" s="7">
        <v>32</v>
      </c>
      <c r="E229">
        <f t="shared" si="21"/>
        <v>36.333333333333236</v>
      </c>
      <c r="F229">
        <f t="shared" si="22"/>
        <v>0.60555555555555396</v>
      </c>
      <c r="G229">
        <f t="shared" si="23"/>
        <v>33.487453909419166</v>
      </c>
      <c r="H229">
        <f t="shared" si="24"/>
        <v>66.388583999161355</v>
      </c>
      <c r="I229">
        <f t="shared" si="25"/>
        <v>67.352104787541023</v>
      </c>
      <c r="J229">
        <f t="shared" si="27"/>
        <v>49.719981305786554</v>
      </c>
      <c r="L229">
        <f t="shared" si="26"/>
        <v>0.49719981305786554</v>
      </c>
    </row>
    <row r="230" spans="1:12" x14ac:dyDescent="0.2">
      <c r="A230" s="2">
        <v>4</v>
      </c>
      <c r="B230" s="2">
        <v>32</v>
      </c>
      <c r="C230" s="2">
        <v>4</v>
      </c>
      <c r="D230" s="7">
        <v>32</v>
      </c>
      <c r="E230">
        <f t="shared" si="21"/>
        <v>36.499999999999901</v>
      </c>
      <c r="F230">
        <f t="shared" si="22"/>
        <v>0.60833333333333173</v>
      </c>
      <c r="G230">
        <f t="shared" si="23"/>
        <v>34.451728240541073</v>
      </c>
      <c r="H230">
        <f t="shared" si="24"/>
        <v>66.388583999161355</v>
      </c>
      <c r="I230">
        <f t="shared" si="25"/>
        <v>67.352104787541023</v>
      </c>
      <c r="J230">
        <f t="shared" si="27"/>
        <v>51.151672763928303</v>
      </c>
      <c r="L230">
        <f t="shared" si="26"/>
        <v>0.51151672763928302</v>
      </c>
    </row>
    <row r="231" spans="1:12" x14ac:dyDescent="0.2">
      <c r="A231" s="2">
        <v>4</v>
      </c>
      <c r="B231" s="2">
        <v>32</v>
      </c>
      <c r="C231" s="2">
        <v>4</v>
      </c>
      <c r="D231" s="7">
        <v>32</v>
      </c>
      <c r="E231">
        <f t="shared" si="21"/>
        <v>36.666666666666572</v>
      </c>
      <c r="F231">
        <f t="shared" si="22"/>
        <v>0.6111111111111095</v>
      </c>
      <c r="G231">
        <f t="shared" si="23"/>
        <v>35.388545475205461</v>
      </c>
      <c r="H231">
        <f t="shared" si="24"/>
        <v>66.388583999161355</v>
      </c>
      <c r="I231">
        <f t="shared" si="25"/>
        <v>67.352104787541023</v>
      </c>
      <c r="J231">
        <f t="shared" si="27"/>
        <v>52.54259772109117</v>
      </c>
      <c r="L231">
        <f t="shared" si="26"/>
        <v>0.52542597721091167</v>
      </c>
    </row>
    <row r="232" spans="1:12" x14ac:dyDescent="0.2">
      <c r="A232" s="2">
        <v>2</v>
      </c>
      <c r="B232" s="2">
        <v>32</v>
      </c>
      <c r="C232" s="2">
        <v>4</v>
      </c>
      <c r="D232" s="7">
        <v>32</v>
      </c>
      <c r="E232">
        <f t="shared" si="21"/>
        <v>36.833333333333236</v>
      </c>
      <c r="F232">
        <f t="shared" si="22"/>
        <v>0.61388888888888726</v>
      </c>
      <c r="G232">
        <f t="shared" si="23"/>
        <v>36.298687436718787</v>
      </c>
      <c r="H232">
        <f t="shared" si="24"/>
        <v>66.388583999161355</v>
      </c>
      <c r="I232">
        <f t="shared" si="25"/>
        <v>67.352104787541023</v>
      </c>
      <c r="J232">
        <f t="shared" si="27"/>
        <v>53.893916977385118</v>
      </c>
      <c r="L232">
        <f t="shared" si="26"/>
        <v>0.53893916977385115</v>
      </c>
    </row>
    <row r="233" spans="1:12" x14ac:dyDescent="0.2">
      <c r="A233" s="2">
        <v>2</v>
      </c>
      <c r="B233" s="2">
        <v>32</v>
      </c>
      <c r="C233" s="2">
        <v>4</v>
      </c>
      <c r="D233" s="7">
        <v>32</v>
      </c>
      <c r="E233">
        <f t="shared" si="21"/>
        <v>36.999999999999901</v>
      </c>
      <c r="F233">
        <f t="shared" si="22"/>
        <v>0.61666666666666503</v>
      </c>
      <c r="G233">
        <f t="shared" si="23"/>
        <v>37.182913686467565</v>
      </c>
      <c r="H233">
        <f t="shared" si="24"/>
        <v>66.388583999161355</v>
      </c>
      <c r="I233">
        <f t="shared" si="25"/>
        <v>67.352104787541023</v>
      </c>
      <c r="J233">
        <f t="shared" si="27"/>
        <v>55.206758279877491</v>
      </c>
      <c r="L233">
        <f t="shared" si="26"/>
        <v>0.55206758279877488</v>
      </c>
    </row>
    <row r="234" spans="1:12" x14ac:dyDescent="0.2">
      <c r="A234" s="2">
        <v>2</v>
      </c>
      <c r="B234" s="2">
        <v>32</v>
      </c>
      <c r="C234" s="2">
        <v>4</v>
      </c>
      <c r="D234" s="7">
        <v>32</v>
      </c>
      <c r="E234">
        <f t="shared" si="21"/>
        <v>37.166666666666565</v>
      </c>
      <c r="F234">
        <f t="shared" si="22"/>
        <v>0.6194444444444428</v>
      </c>
      <c r="G234">
        <f t="shared" si="23"/>
        <v>38.041962157812385</v>
      </c>
      <c r="H234">
        <f t="shared" si="24"/>
        <v>66.388583999161355</v>
      </c>
      <c r="I234">
        <f t="shared" si="25"/>
        <v>67.352104787541023</v>
      </c>
      <c r="J234">
        <f t="shared" si="27"/>
        <v>56.482217263757271</v>
      </c>
      <c r="L234">
        <f t="shared" si="26"/>
        <v>0.56482217263757273</v>
      </c>
    </row>
    <row r="235" spans="1:12" x14ac:dyDescent="0.2">
      <c r="A235" s="2">
        <v>2</v>
      </c>
      <c r="B235" s="2">
        <v>32</v>
      </c>
      <c r="C235" s="2">
        <v>4</v>
      </c>
      <c r="D235" s="7">
        <v>32</v>
      </c>
      <c r="E235">
        <f t="shared" si="21"/>
        <v>37.333333333333236</v>
      </c>
      <c r="F235">
        <f t="shared" si="22"/>
        <v>0.62222222222222057</v>
      </c>
      <c r="G235">
        <f t="shared" si="23"/>
        <v>38.876549771932112</v>
      </c>
      <c r="H235">
        <f t="shared" si="24"/>
        <v>66.388583999161355</v>
      </c>
      <c r="I235">
        <f t="shared" si="25"/>
        <v>67.352104787541023</v>
      </c>
      <c r="J235">
        <f t="shared" si="27"/>
        <v>57.721358366700372</v>
      </c>
      <c r="L235">
        <f t="shared" si="26"/>
        <v>0.5772135836670037</v>
      </c>
    </row>
    <row r="236" spans="1:12" x14ac:dyDescent="0.2">
      <c r="A236" s="2">
        <v>2</v>
      </c>
      <c r="B236" s="2">
        <v>32</v>
      </c>
      <c r="C236" s="2">
        <v>4</v>
      </c>
      <c r="D236" s="7">
        <v>32</v>
      </c>
      <c r="E236">
        <f t="shared" si="21"/>
        <v>37.499999999999901</v>
      </c>
      <c r="F236">
        <f t="shared" si="22"/>
        <v>0.62499999999999833</v>
      </c>
      <c r="G236">
        <f t="shared" si="23"/>
        <v>39.687373036132378</v>
      </c>
      <c r="H236">
        <f t="shared" si="24"/>
        <v>66.388583999161355</v>
      </c>
      <c r="I236">
        <f t="shared" si="25"/>
        <v>67.352104787541023</v>
      </c>
      <c r="J236">
        <f t="shared" si="27"/>
        <v>58.925215717198874</v>
      </c>
      <c r="L236">
        <f t="shared" si="26"/>
        <v>0.58925215717198876</v>
      </c>
    </row>
    <row r="237" spans="1:12" x14ac:dyDescent="0.2">
      <c r="A237" s="2">
        <v>2</v>
      </c>
      <c r="B237" s="2">
        <v>32</v>
      </c>
      <c r="C237" s="2">
        <v>4</v>
      </c>
      <c r="D237" s="7">
        <v>32</v>
      </c>
      <c r="E237">
        <f t="shared" si="21"/>
        <v>37.666666666666565</v>
      </c>
      <c r="F237">
        <f t="shared" si="22"/>
        <v>0.6277777777777761</v>
      </c>
      <c r="G237">
        <f t="shared" si="23"/>
        <v>40.475108625117606</v>
      </c>
      <c r="H237">
        <f t="shared" si="24"/>
        <v>66.388583999161355</v>
      </c>
      <c r="I237">
        <f t="shared" si="25"/>
        <v>67.352104787541023</v>
      </c>
      <c r="J237">
        <f t="shared" si="27"/>
        <v>60.094793997595751</v>
      </c>
      <c r="L237">
        <f t="shared" si="26"/>
        <v>0.60094793997595752</v>
      </c>
    </row>
    <row r="238" spans="1:12" x14ac:dyDescent="0.2">
      <c r="A238" s="2">
        <v>2</v>
      </c>
      <c r="B238" s="2">
        <v>32</v>
      </c>
      <c r="C238" s="2">
        <v>4</v>
      </c>
      <c r="D238" s="7">
        <v>32</v>
      </c>
      <c r="E238">
        <f t="shared" si="21"/>
        <v>37.833333333333229</v>
      </c>
      <c r="F238">
        <f t="shared" si="22"/>
        <v>0.63055555555555387</v>
      </c>
      <c r="G238">
        <f t="shared" si="23"/>
        <v>41.240413945711666</v>
      </c>
      <c r="H238">
        <f t="shared" si="24"/>
        <v>66.388583999161355</v>
      </c>
      <c r="I238">
        <f t="shared" si="25"/>
        <v>67.352104787541023</v>
      </c>
      <c r="J238">
        <f t="shared" si="27"/>
        <v>61.231069282545171</v>
      </c>
      <c r="L238">
        <f t="shared" si="26"/>
        <v>0.6123106928254517</v>
      </c>
    </row>
    <row r="239" spans="1:12" x14ac:dyDescent="0.2">
      <c r="A239" s="2">
        <v>2</v>
      </c>
      <c r="B239" s="2">
        <v>32</v>
      </c>
      <c r="C239" s="2">
        <v>4</v>
      </c>
      <c r="D239" s="7">
        <v>32</v>
      </c>
      <c r="E239">
        <f t="shared" si="21"/>
        <v>37.999999999999901</v>
      </c>
      <c r="F239">
        <f t="shared" si="22"/>
        <v>0.63333333333333164</v>
      </c>
      <c r="G239">
        <f t="shared" si="23"/>
        <v>41.983927685498472</v>
      </c>
      <c r="H239">
        <f t="shared" si="24"/>
        <v>66.388583999161355</v>
      </c>
      <c r="I239">
        <f t="shared" si="25"/>
        <v>67.352104787541023</v>
      </c>
      <c r="J239">
        <f t="shared" si="27"/>
        <v>62.334989853598124</v>
      </c>
      <c r="L239">
        <f t="shared" si="26"/>
        <v>0.62334989853598122</v>
      </c>
    </row>
    <row r="240" spans="1:12" x14ac:dyDescent="0.2">
      <c r="A240" s="2">
        <v>2</v>
      </c>
      <c r="B240" s="2">
        <v>32</v>
      </c>
      <c r="C240" s="2">
        <v>4</v>
      </c>
      <c r="D240" s="7">
        <v>32</v>
      </c>
      <c r="E240">
        <f t="shared" si="21"/>
        <v>38.166666666666565</v>
      </c>
      <c r="F240">
        <f t="shared" si="22"/>
        <v>0.63611111111110941</v>
      </c>
      <c r="G240">
        <f t="shared" si="23"/>
        <v>42.70627034584043</v>
      </c>
      <c r="H240">
        <f t="shared" si="24"/>
        <v>66.388583999161355</v>
      </c>
      <c r="I240">
        <f t="shared" si="25"/>
        <v>67.352104787541023</v>
      </c>
      <c r="J240">
        <f t="shared" si="27"/>
        <v>63.407476990593402</v>
      </c>
      <c r="L240">
        <f t="shared" si="26"/>
        <v>0.63407476990593403</v>
      </c>
    </row>
    <row r="241" spans="1:12" x14ac:dyDescent="0.2">
      <c r="A241" s="2">
        <v>2</v>
      </c>
      <c r="B241" s="2">
        <v>32</v>
      </c>
      <c r="C241" s="2">
        <v>4</v>
      </c>
      <c r="D241" s="7">
        <v>32</v>
      </c>
      <c r="E241">
        <f t="shared" si="21"/>
        <v>38.333333333333229</v>
      </c>
      <c r="F241">
        <f t="shared" si="22"/>
        <v>0.63888888888888717</v>
      </c>
      <c r="G241">
        <f t="shared" si="23"/>
        <v>43.408044759719466</v>
      </c>
      <c r="H241">
        <f t="shared" si="24"/>
        <v>66.388583999161355</v>
      </c>
      <c r="I241">
        <f t="shared" si="25"/>
        <v>67.352104787541023</v>
      </c>
      <c r="J241">
        <f t="shared" si="27"/>
        <v>64.449425740514059</v>
      </c>
      <c r="L241">
        <f t="shared" si="26"/>
        <v>0.64449425740514055</v>
      </c>
    </row>
    <row r="242" spans="1:12" x14ac:dyDescent="0.2">
      <c r="A242" s="2">
        <v>2</v>
      </c>
      <c r="B242" s="2">
        <v>32</v>
      </c>
      <c r="C242" s="2">
        <v>4</v>
      </c>
      <c r="D242" s="7">
        <v>32</v>
      </c>
      <c r="E242">
        <f t="shared" si="21"/>
        <v>38.499999999999893</v>
      </c>
      <c r="F242">
        <f t="shared" si="22"/>
        <v>0.64166666666666494</v>
      </c>
      <c r="G242">
        <f t="shared" si="23"/>
        <v>44.089836594832896</v>
      </c>
      <c r="H242">
        <f t="shared" si="24"/>
        <v>66.388583999161355</v>
      </c>
      <c r="I242">
        <f t="shared" si="25"/>
        <v>67.352104787541023</v>
      </c>
      <c r="J242">
        <f t="shared" si="27"/>
        <v>65.461705664451259</v>
      </c>
      <c r="L242">
        <f t="shared" si="26"/>
        <v>0.65461705664451264</v>
      </c>
    </row>
    <row r="243" spans="1:12" x14ac:dyDescent="0.2">
      <c r="A243" s="2">
        <v>2</v>
      </c>
      <c r="B243" s="2">
        <v>32</v>
      </c>
      <c r="C243" s="2">
        <v>4</v>
      </c>
      <c r="D243" s="7">
        <v>32</v>
      </c>
      <c r="E243">
        <f t="shared" si="21"/>
        <v>38.666666666666565</v>
      </c>
      <c r="F243">
        <f t="shared" si="22"/>
        <v>0.64444444444444271</v>
      </c>
      <c r="G243">
        <f t="shared" si="23"/>
        <v>44.752214842363969</v>
      </c>
      <c r="H243">
        <f t="shared" si="24"/>
        <v>66.388583999161355</v>
      </c>
      <c r="I243">
        <f t="shared" si="25"/>
        <v>67.352104787541023</v>
      </c>
      <c r="J243">
        <f t="shared" si="27"/>
        <v>66.445161563298853</v>
      </c>
      <c r="L243">
        <f t="shared" si="26"/>
        <v>0.66445161563298849</v>
      </c>
    </row>
    <row r="244" spans="1:12" x14ac:dyDescent="0.2">
      <c r="A244" s="2">
        <v>2</v>
      </c>
      <c r="B244" s="2">
        <v>32</v>
      </c>
      <c r="C244" s="2">
        <v>4</v>
      </c>
      <c r="D244" s="7">
        <v>32</v>
      </c>
      <c r="E244">
        <f t="shared" si="21"/>
        <v>38.833333333333229</v>
      </c>
      <c r="F244">
        <f t="shared" si="22"/>
        <v>0.64722222222222048</v>
      </c>
      <c r="G244">
        <f t="shared" si="23"/>
        <v>45.395732291834953</v>
      </c>
      <c r="H244">
        <f t="shared" si="24"/>
        <v>66.388583999161355</v>
      </c>
      <c r="I244">
        <f t="shared" si="25"/>
        <v>67.352104787541023</v>
      </c>
      <c r="J244">
        <f t="shared" si="27"/>
        <v>67.400614182784054</v>
      </c>
      <c r="L244">
        <f t="shared" si="26"/>
        <v>0.67400614182784058</v>
      </c>
    </row>
    <row r="245" spans="1:12" x14ac:dyDescent="0.2">
      <c r="A245" s="2">
        <v>2</v>
      </c>
      <c r="B245" s="2">
        <v>32</v>
      </c>
      <c r="C245" s="2">
        <v>4</v>
      </c>
      <c r="D245" s="7">
        <v>32</v>
      </c>
      <c r="E245">
        <f t="shared" si="21"/>
        <v>38.999999999999893</v>
      </c>
      <c r="F245">
        <f t="shared" si="22"/>
        <v>0.64999999999999825</v>
      </c>
      <c r="G245">
        <f t="shared" si="23"/>
        <v>46.020925992439096</v>
      </c>
      <c r="H245">
        <f t="shared" si="24"/>
        <v>66.388583999161355</v>
      </c>
      <c r="I245">
        <f t="shared" si="25"/>
        <v>67.352104787541023</v>
      </c>
      <c r="J245">
        <f t="shared" si="27"/>
        <v>68.328860898423144</v>
      </c>
      <c r="L245">
        <f t="shared" si="26"/>
        <v>0.68328860898423149</v>
      </c>
    </row>
    <row r="246" spans="1:12" x14ac:dyDescent="0.2">
      <c r="A246" s="2">
        <v>2</v>
      </c>
      <c r="B246" s="2">
        <v>32</v>
      </c>
      <c r="C246" s="2">
        <v>4</v>
      </c>
      <c r="D246" s="7">
        <v>32</v>
      </c>
      <c r="E246">
        <f t="shared" si="21"/>
        <v>39.166666666666558</v>
      </c>
      <c r="F246">
        <f t="shared" si="22"/>
        <v>0.65277777777777601</v>
      </c>
      <c r="G246">
        <f t="shared" si="23"/>
        <v>46.628317701236462</v>
      </c>
      <c r="H246">
        <f t="shared" si="24"/>
        <v>66.388583999161355</v>
      </c>
      <c r="I246">
        <f t="shared" si="25"/>
        <v>67.352104787541023</v>
      </c>
      <c r="J246">
        <f t="shared" si="27"/>
        <v>69.230676380973165</v>
      </c>
      <c r="L246">
        <f t="shared" si="26"/>
        <v>0.69230676380973166</v>
      </c>
    </row>
    <row r="247" spans="1:12" x14ac:dyDescent="0.2">
      <c r="A247" s="2">
        <v>2</v>
      </c>
      <c r="B247" s="2">
        <v>32</v>
      </c>
      <c r="C247" s="2">
        <v>4</v>
      </c>
      <c r="D247" s="7">
        <v>32</v>
      </c>
      <c r="E247">
        <f t="shared" si="21"/>
        <v>39.333333333333229</v>
      </c>
      <c r="F247">
        <f t="shared" si="22"/>
        <v>0.65555555555555378</v>
      </c>
      <c r="G247">
        <f t="shared" si="23"/>
        <v>47.218414318587662</v>
      </c>
      <c r="H247">
        <f t="shared" si="24"/>
        <v>66.388583999161355</v>
      </c>
      <c r="I247">
        <f t="shared" si="25"/>
        <v>67.352104787541023</v>
      </c>
      <c r="J247">
        <f t="shared" si="27"/>
        <v>70.106813242935587</v>
      </c>
      <c r="L247">
        <f t="shared" si="26"/>
        <v>0.70106813242935584</v>
      </c>
    </row>
    <row r="248" spans="1:12" x14ac:dyDescent="0.2">
      <c r="A248" s="2">
        <v>2</v>
      </c>
      <c r="B248" s="2">
        <v>32</v>
      </c>
      <c r="C248" s="2">
        <v>4</v>
      </c>
      <c r="D248" s="7">
        <v>32</v>
      </c>
      <c r="E248">
        <f t="shared" si="21"/>
        <v>39.499999999999893</v>
      </c>
      <c r="F248">
        <f t="shared" si="22"/>
        <v>0.65833333333333155</v>
      </c>
      <c r="G248">
        <f t="shared" si="23"/>
        <v>47.791708311188899</v>
      </c>
      <c r="H248">
        <f t="shared" si="24"/>
        <v>66.388583999161355</v>
      </c>
      <c r="I248">
        <f t="shared" si="25"/>
        <v>67.352104787541023</v>
      </c>
      <c r="J248">
        <f t="shared" si="27"/>
        <v>70.958002666650941</v>
      </c>
      <c r="L248">
        <f t="shared" si="26"/>
        <v>0.70958002666650943</v>
      </c>
    </row>
    <row r="249" spans="1:12" x14ac:dyDescent="0.2">
      <c r="A249" s="2">
        <v>2</v>
      </c>
      <c r="B249" s="2">
        <v>32</v>
      </c>
      <c r="C249" s="2">
        <v>4</v>
      </c>
      <c r="D249" s="7">
        <v>32</v>
      </c>
      <c r="E249">
        <f t="shared" si="21"/>
        <v>39.666666666666558</v>
      </c>
      <c r="F249">
        <f t="shared" si="22"/>
        <v>0.66111111111110932</v>
      </c>
      <c r="G249">
        <f t="shared" si="23"/>
        <v>48.348678123061347</v>
      </c>
      <c r="H249">
        <f t="shared" si="24"/>
        <v>66.388583999161355</v>
      </c>
      <c r="I249">
        <f t="shared" si="25"/>
        <v>67.352104787541023</v>
      </c>
      <c r="J249">
        <f t="shared" si="27"/>
        <v>71.784955014509094</v>
      </c>
      <c r="L249">
        <f t="shared" si="26"/>
        <v>0.717849550145091</v>
      </c>
    </row>
    <row r="250" spans="1:12" x14ac:dyDescent="0.2">
      <c r="A250" s="2">
        <v>1</v>
      </c>
      <c r="B250" s="2">
        <v>32</v>
      </c>
      <c r="C250" s="2">
        <v>4</v>
      </c>
      <c r="D250" s="7">
        <v>32</v>
      </c>
      <c r="E250">
        <f t="shared" si="21"/>
        <v>39.833333333333222</v>
      </c>
      <c r="F250">
        <f t="shared" si="22"/>
        <v>0.66388888888888709</v>
      </c>
      <c r="G250">
        <f t="shared" si="23"/>
        <v>48.889788574837887</v>
      </c>
      <c r="H250">
        <f t="shared" si="24"/>
        <v>66.388583999161355</v>
      </c>
      <c r="I250">
        <f t="shared" si="25"/>
        <v>67.352104787541023</v>
      </c>
      <c r="J250">
        <f t="shared" si="27"/>
        <v>72.58836042178396</v>
      </c>
      <c r="L250">
        <f t="shared" si="26"/>
        <v>0.7258836042178396</v>
      </c>
    </row>
    <row r="251" spans="1:12" x14ac:dyDescent="0.2">
      <c r="A251" s="2">
        <v>1</v>
      </c>
      <c r="B251" s="2">
        <v>32</v>
      </c>
      <c r="C251" s="2">
        <v>4</v>
      </c>
      <c r="D251" s="7">
        <v>32</v>
      </c>
      <c r="E251">
        <f t="shared" si="21"/>
        <v>39.999999999999893</v>
      </c>
      <c r="F251">
        <f t="shared" si="22"/>
        <v>0.66666666666666485</v>
      </c>
      <c r="G251">
        <f t="shared" si="23"/>
        <v>49.415491251680386</v>
      </c>
      <c r="H251">
        <f t="shared" si="24"/>
        <v>66.388583999161355</v>
      </c>
      <c r="I251">
        <f t="shared" si="25"/>
        <v>67.352104787541023</v>
      </c>
      <c r="J251">
        <f t="shared" si="27"/>
        <v>73.368889372587802</v>
      </c>
      <c r="L251">
        <f t="shared" si="26"/>
        <v>0.73368889372587798</v>
      </c>
    </row>
    <row r="252" spans="1:12" x14ac:dyDescent="0.2">
      <c r="A252" s="2">
        <v>1</v>
      </c>
      <c r="B252" s="2">
        <v>16</v>
      </c>
      <c r="C252" s="2">
        <v>8</v>
      </c>
      <c r="D252" s="7">
        <v>16</v>
      </c>
      <c r="E252">
        <f t="shared" si="21"/>
        <v>40.166666666666558</v>
      </c>
      <c r="F252">
        <f t="shared" si="22"/>
        <v>0.66944444444444262</v>
      </c>
      <c r="G252">
        <f t="shared" si="23"/>
        <v>48.967320770562267</v>
      </c>
      <c r="H252">
        <f t="shared" si="24"/>
        <v>33.194291999580678</v>
      </c>
      <c r="I252">
        <f t="shared" si="25"/>
        <v>67.352104787541023</v>
      </c>
      <c r="J252">
        <f t="shared" si="27"/>
        <v>72.703475154974484</v>
      </c>
      <c r="L252">
        <f t="shared" si="26"/>
        <v>0.72703475154974484</v>
      </c>
    </row>
    <row r="253" spans="1:12" x14ac:dyDescent="0.2">
      <c r="A253" s="2">
        <v>1</v>
      </c>
      <c r="B253" s="2">
        <v>16</v>
      </c>
      <c r="C253" s="2">
        <v>8</v>
      </c>
      <c r="D253" s="7">
        <v>16</v>
      </c>
      <c r="E253">
        <f t="shared" si="21"/>
        <v>40.333333333333222</v>
      </c>
      <c r="F253">
        <f t="shared" si="22"/>
        <v>0.67222222222222039</v>
      </c>
      <c r="G253">
        <f t="shared" si="23"/>
        <v>48.531911658001114</v>
      </c>
      <c r="H253">
        <f t="shared" si="24"/>
        <v>33.194291999580678</v>
      </c>
      <c r="I253">
        <f t="shared" si="25"/>
        <v>67.352104787541023</v>
      </c>
      <c r="J253">
        <f t="shared" si="27"/>
        <v>72.057008182732659</v>
      </c>
      <c r="L253">
        <f t="shared" si="26"/>
        <v>0.72057008182732663</v>
      </c>
    </row>
    <row r="254" spans="1:12" x14ac:dyDescent="0.2">
      <c r="A254" s="2">
        <v>1</v>
      </c>
      <c r="B254" s="2">
        <v>16</v>
      </c>
      <c r="C254" s="2">
        <v>8</v>
      </c>
      <c r="D254" s="7">
        <v>16</v>
      </c>
      <c r="E254">
        <f t="shared" si="21"/>
        <v>40.499999999999886</v>
      </c>
      <c r="F254">
        <f t="shared" si="22"/>
        <v>0.67499999999999816</v>
      </c>
      <c r="G254">
        <f t="shared" si="23"/>
        <v>48.108900542167888</v>
      </c>
      <c r="H254">
        <f t="shared" si="24"/>
        <v>33.194291999580678</v>
      </c>
      <c r="I254">
        <f t="shared" si="25"/>
        <v>67.352104787541023</v>
      </c>
      <c r="J254">
        <f t="shared" si="27"/>
        <v>71.428948945137051</v>
      </c>
      <c r="L254">
        <f t="shared" si="26"/>
        <v>0.7142894894513705</v>
      </c>
    </row>
    <row r="255" spans="1:12" x14ac:dyDescent="0.2">
      <c r="A255" s="2">
        <v>1</v>
      </c>
      <c r="B255" s="2">
        <v>16</v>
      </c>
      <c r="C255" s="2">
        <v>8</v>
      </c>
      <c r="D255" s="7">
        <v>16</v>
      </c>
      <c r="E255">
        <f t="shared" si="21"/>
        <v>40.666666666666558</v>
      </c>
      <c r="F255">
        <f t="shared" si="22"/>
        <v>0.67777777777777592</v>
      </c>
      <c r="G255">
        <f t="shared" si="23"/>
        <v>47.697934398014574</v>
      </c>
      <c r="H255">
        <f t="shared" si="24"/>
        <v>33.194291999580678</v>
      </c>
      <c r="I255">
        <f t="shared" si="25"/>
        <v>67.352104787541023</v>
      </c>
      <c r="J255">
        <f t="shared" si="27"/>
        <v>70.818773293686093</v>
      </c>
      <c r="L255">
        <f t="shared" si="26"/>
        <v>0.70818773293686088</v>
      </c>
    </row>
    <row r="256" spans="1:12" x14ac:dyDescent="0.2">
      <c r="A256" s="2">
        <v>1</v>
      </c>
      <c r="B256" s="2">
        <v>16</v>
      </c>
      <c r="C256" s="2">
        <v>8</v>
      </c>
      <c r="D256" s="7">
        <v>16</v>
      </c>
      <c r="E256">
        <f t="shared" si="21"/>
        <v>40.833333333333222</v>
      </c>
      <c r="F256">
        <f t="shared" si="22"/>
        <v>0.68055555555555369</v>
      </c>
      <c r="G256">
        <f t="shared" si="23"/>
        <v>47.298670252656215</v>
      </c>
      <c r="H256">
        <f t="shared" si="24"/>
        <v>33.194291999580678</v>
      </c>
      <c r="I256">
        <f t="shared" si="25"/>
        <v>67.352104787541023</v>
      </c>
      <c r="J256">
        <f t="shared" si="27"/>
        <v>70.225972004672457</v>
      </c>
      <c r="L256">
        <f t="shared" si="26"/>
        <v>0.70225972004672454</v>
      </c>
    </row>
    <row r="257" spans="1:12" x14ac:dyDescent="0.2">
      <c r="A257" s="2">
        <v>1</v>
      </c>
      <c r="B257" s="2">
        <v>16</v>
      </c>
      <c r="C257" s="2">
        <v>8</v>
      </c>
      <c r="D257" s="7">
        <v>16</v>
      </c>
      <c r="E257">
        <f t="shared" si="21"/>
        <v>40.999999999999886</v>
      </c>
      <c r="F257">
        <f t="shared" si="22"/>
        <v>0.68333333333333146</v>
      </c>
      <c r="G257">
        <f t="shared" si="23"/>
        <v>46.910774899141948</v>
      </c>
      <c r="H257">
        <f t="shared" si="24"/>
        <v>33.194291999580678</v>
      </c>
      <c r="I257">
        <f t="shared" si="25"/>
        <v>67.352104787541023</v>
      </c>
      <c r="J257">
        <f t="shared" si="27"/>
        <v>69.650050354209029</v>
      </c>
      <c r="L257">
        <f t="shared" si="26"/>
        <v>0.69650050354209025</v>
      </c>
    </row>
    <row r="258" spans="1:12" x14ac:dyDescent="0.2">
      <c r="A258" s="2">
        <v>1</v>
      </c>
      <c r="B258" s="2">
        <v>16</v>
      </c>
      <c r="C258" s="2">
        <v>8</v>
      </c>
      <c r="D258" s="7">
        <v>16</v>
      </c>
      <c r="E258">
        <f t="shared" si="21"/>
        <v>41.166666666666551</v>
      </c>
      <c r="F258">
        <f t="shared" si="22"/>
        <v>0.68611111111110923</v>
      </c>
      <c r="G258">
        <f t="shared" si="23"/>
        <v>46.533924618376297</v>
      </c>
      <c r="H258">
        <f t="shared" si="24"/>
        <v>33.194291999580678</v>
      </c>
      <c r="I258">
        <f t="shared" si="25"/>
        <v>67.352104787541023</v>
      </c>
      <c r="J258">
        <f t="shared" si="27"/>
        <v>69.090527705355797</v>
      </c>
      <c r="L258">
        <f t="shared" si="26"/>
        <v>0.69090527705355798</v>
      </c>
    </row>
    <row r="259" spans="1:12" x14ac:dyDescent="0.2">
      <c r="A259" s="2">
        <v>1</v>
      </c>
      <c r="B259" s="2">
        <v>16</v>
      </c>
      <c r="C259" s="2">
        <v>8</v>
      </c>
      <c r="D259" s="7">
        <v>16</v>
      </c>
      <c r="E259">
        <f t="shared" si="21"/>
        <v>41.333333333333222</v>
      </c>
      <c r="F259">
        <f t="shared" si="22"/>
        <v>0.688888888888887</v>
      </c>
      <c r="G259">
        <f t="shared" si="23"/>
        <v>46.167804908958516</v>
      </c>
      <c r="H259">
        <f t="shared" si="24"/>
        <v>33.194291999580678</v>
      </c>
      <c r="I259">
        <f t="shared" si="25"/>
        <v>67.352104787541023</v>
      </c>
      <c r="J259">
        <f t="shared" si="27"/>
        <v>68.546937107003032</v>
      </c>
      <c r="L259">
        <f t="shared" si="26"/>
        <v>0.68546937107003036</v>
      </c>
    </row>
    <row r="260" spans="1:12" x14ac:dyDescent="0.2">
      <c r="A260" s="2">
        <v>1</v>
      </c>
      <c r="B260" s="2">
        <v>16</v>
      </c>
      <c r="C260" s="2">
        <v>8</v>
      </c>
      <c r="D260" s="7">
        <v>16</v>
      </c>
      <c r="E260">
        <f t="shared" si="21"/>
        <v>41.499999999999886</v>
      </c>
      <c r="F260">
        <f t="shared" si="22"/>
        <v>0.69166666666666476</v>
      </c>
      <c r="G260">
        <f t="shared" si="23"/>
        <v>45.812110224714623</v>
      </c>
      <c r="H260">
        <f t="shared" si="24"/>
        <v>33.194291999580678</v>
      </c>
      <c r="I260">
        <f t="shared" si="25"/>
        <v>67.352104787541023</v>
      </c>
      <c r="J260">
        <f t="shared" si="27"/>
        <v>68.018824904175929</v>
      </c>
      <c r="L260">
        <f t="shared" si="26"/>
        <v>0.68018824904175934</v>
      </c>
    </row>
    <row r="261" spans="1:12" x14ac:dyDescent="0.2">
      <c r="A261" s="2">
        <v>1</v>
      </c>
      <c r="B261" s="2">
        <v>16</v>
      </c>
      <c r="C261" s="2">
        <v>8</v>
      </c>
      <c r="D261" s="7">
        <v>16</v>
      </c>
      <c r="E261">
        <f t="shared" si="21"/>
        <v>41.666666666666551</v>
      </c>
      <c r="F261">
        <f t="shared" si="22"/>
        <v>0.69444444444444253</v>
      </c>
      <c r="G261">
        <f t="shared" si="23"/>
        <v>45.466543719703033</v>
      </c>
      <c r="H261">
        <f t="shared" si="24"/>
        <v>33.194291999580678</v>
      </c>
      <c r="I261">
        <f t="shared" si="25"/>
        <v>67.352104787541023</v>
      </c>
      <c r="J261">
        <f t="shared" si="27"/>
        <v>67.505750359435766</v>
      </c>
      <c r="L261">
        <f t="shared" si="26"/>
        <v>0.67505750359435768</v>
      </c>
    </row>
    <row r="262" spans="1:12" x14ac:dyDescent="0.2">
      <c r="A262" s="2">
        <v>1</v>
      </c>
      <c r="B262" s="2">
        <v>16</v>
      </c>
      <c r="C262" s="2">
        <v>8</v>
      </c>
      <c r="D262" s="7">
        <v>16</v>
      </c>
      <c r="E262">
        <f t="shared" si="21"/>
        <v>41.833333333333215</v>
      </c>
      <c r="F262">
        <f t="shared" si="22"/>
        <v>0.6972222222222203</v>
      </c>
      <c r="G262">
        <f t="shared" si="23"/>
        <v>45.130817000480981</v>
      </c>
      <c r="H262">
        <f t="shared" si="24"/>
        <v>33.194291999580678</v>
      </c>
      <c r="I262">
        <f t="shared" si="25"/>
        <v>67.352104787541023</v>
      </c>
      <c r="J262">
        <f t="shared" si="27"/>
        <v>67.007285285061201</v>
      </c>
      <c r="L262">
        <f t="shared" si="26"/>
        <v>0.67007285285061202</v>
      </c>
    </row>
    <row r="263" spans="1:12" x14ac:dyDescent="0.2">
      <c r="A263" s="2">
        <v>1</v>
      </c>
      <c r="B263" s="2">
        <v>16</v>
      </c>
      <c r="C263" s="2">
        <v>8</v>
      </c>
      <c r="D263" s="7">
        <v>16</v>
      </c>
      <c r="E263">
        <f t="shared" si="21"/>
        <v>41.999999999999886</v>
      </c>
      <c r="F263">
        <f t="shared" si="22"/>
        <v>0.69999999999999807</v>
      </c>
      <c r="G263">
        <f t="shared" si="23"/>
        <v>44.804649885425015</v>
      </c>
      <c r="H263">
        <f t="shared" si="24"/>
        <v>33.194291999580678</v>
      </c>
      <c r="I263">
        <f t="shared" si="25"/>
        <v>67.352104787541023</v>
      </c>
      <c r="J263">
        <f t="shared" si="27"/>
        <v>66.52301368570312</v>
      </c>
      <c r="L263">
        <f t="shared" si="26"/>
        <v>0.66523013685703125</v>
      </c>
    </row>
    <row r="264" spans="1:12" x14ac:dyDescent="0.2">
      <c r="A264" s="2">
        <v>1</v>
      </c>
      <c r="B264" s="2">
        <v>16</v>
      </c>
      <c r="C264" s="2">
        <v>8</v>
      </c>
      <c r="D264" s="7">
        <v>16</v>
      </c>
      <c r="E264">
        <f t="shared" si="21"/>
        <v>42.166666666666551</v>
      </c>
      <c r="F264">
        <f t="shared" si="22"/>
        <v>0.70277777777777584</v>
      </c>
      <c r="G264">
        <f t="shared" si="23"/>
        <v>44.487770170904682</v>
      </c>
      <c r="H264">
        <f t="shared" si="24"/>
        <v>33.194291999580678</v>
      </c>
      <c r="I264">
        <f t="shared" si="25"/>
        <v>67.352104787541023</v>
      </c>
      <c r="J264">
        <f t="shared" si="27"/>
        <v>66.052531411214559</v>
      </c>
      <c r="L264">
        <f t="shared" si="26"/>
        <v>0.66052531411214555</v>
      </c>
    </row>
    <row r="265" spans="1:12" x14ac:dyDescent="0.2">
      <c r="A265" s="2">
        <v>1</v>
      </c>
      <c r="B265" s="2">
        <v>16</v>
      </c>
      <c r="C265" s="2">
        <v>8</v>
      </c>
      <c r="D265" s="7">
        <v>16</v>
      </c>
      <c r="E265">
        <f t="shared" si="21"/>
        <v>42.333333333333215</v>
      </c>
      <c r="F265">
        <f t="shared" si="22"/>
        <v>0.7055555555555536</v>
      </c>
      <c r="G265">
        <f t="shared" si="23"/>
        <v>44.179913404114266</v>
      </c>
      <c r="H265">
        <f t="shared" si="24"/>
        <v>33.194291999580678</v>
      </c>
      <c r="I265">
        <f t="shared" si="25"/>
        <v>67.352104787541023</v>
      </c>
      <c r="J265">
        <f t="shared" si="27"/>
        <v>65.595445819366276</v>
      </c>
      <c r="L265">
        <f t="shared" si="26"/>
        <v>0.65595445819366272</v>
      </c>
    </row>
    <row r="266" spans="1:12" x14ac:dyDescent="0.2">
      <c r="A266" s="2">
        <v>1</v>
      </c>
      <c r="B266" s="2">
        <v>16</v>
      </c>
      <c r="C266" s="2">
        <v>8</v>
      </c>
      <c r="D266" s="7">
        <v>16</v>
      </c>
      <c r="E266">
        <f t="shared" si="21"/>
        <v>42.499999999999879</v>
      </c>
      <c r="F266">
        <f t="shared" si="22"/>
        <v>0.70833333333333137</v>
      </c>
      <c r="G266">
        <f t="shared" si="23"/>
        <v>43.880822662372999</v>
      </c>
      <c r="H266">
        <f t="shared" si="24"/>
        <v>33.194291999580678</v>
      </c>
      <c r="I266">
        <f t="shared" si="25"/>
        <v>67.352104787541023</v>
      </c>
      <c r="J266">
        <f t="shared" si="27"/>
        <v>65.151375448165936</v>
      </c>
      <c r="L266">
        <f t="shared" si="26"/>
        <v>0.65151375448165938</v>
      </c>
    </row>
    <row r="267" spans="1:12" x14ac:dyDescent="0.2">
      <c r="A267" s="2">
        <v>1</v>
      </c>
      <c r="B267" s="2">
        <v>16</v>
      </c>
      <c r="C267" s="2">
        <v>8</v>
      </c>
      <c r="D267" s="7">
        <v>16</v>
      </c>
      <c r="E267">
        <f t="shared" si="21"/>
        <v>42.666666666666551</v>
      </c>
      <c r="F267">
        <f t="shared" si="22"/>
        <v>0.71111111111110914</v>
      </c>
      <c r="G267">
        <f t="shared" si="23"/>
        <v>43.590248338709543</v>
      </c>
      <c r="H267">
        <f t="shared" si="24"/>
        <v>33.194291999580678</v>
      </c>
      <c r="I267">
        <f t="shared" si="25"/>
        <v>67.352104787541023</v>
      </c>
      <c r="J267">
        <f t="shared" si="27"/>
        <v>64.71994969750817</v>
      </c>
      <c r="L267">
        <f t="shared" si="26"/>
        <v>0.64719949697508172</v>
      </c>
    </row>
    <row r="268" spans="1:12" x14ac:dyDescent="0.2">
      <c r="A268" s="2">
        <v>0.5</v>
      </c>
      <c r="B268" s="2">
        <v>16</v>
      </c>
      <c r="C268" s="2">
        <v>8</v>
      </c>
      <c r="D268" s="7">
        <v>16</v>
      </c>
      <c r="E268">
        <f t="shared" ref="E268:E331" si="28">F268*60</f>
        <v>42.833333333333215</v>
      </c>
      <c r="F268">
        <f t="shared" ref="F268:F331" si="29">Tsamp+F267</f>
        <v>0.71388888888888691</v>
      </c>
      <c r="G268">
        <f t="shared" ref="G268:G331" si="30">Tsamp*$D268*G$3/G$5+G$8*G267</f>
        <v>43.307947933551851</v>
      </c>
      <c r="H268">
        <f t="shared" ref="H268:H331" si="31">$D268*$G$3/$G$6</f>
        <v>33.194291999580678</v>
      </c>
      <c r="I268">
        <f t="shared" ref="I268:I331" si="32">Tsamp*32*$G$3/($G$5*(1-$G$8))</f>
        <v>67.352104787541023</v>
      </c>
      <c r="J268">
        <f t="shared" si="27"/>
        <v>64.300808519889159</v>
      </c>
      <c r="L268">
        <f t="shared" ref="L268:L331" si="33">$J268/100</f>
        <v>0.64300808519889163</v>
      </c>
    </row>
    <row r="269" spans="1:12" x14ac:dyDescent="0.2">
      <c r="A269" s="2">
        <v>0.5</v>
      </c>
      <c r="B269" s="2">
        <v>16</v>
      </c>
      <c r="C269" s="2">
        <v>8</v>
      </c>
      <c r="D269" s="7">
        <v>16</v>
      </c>
      <c r="E269">
        <f t="shared" si="28"/>
        <v>42.999999999999879</v>
      </c>
      <c r="F269">
        <f t="shared" si="29"/>
        <v>0.71666666666666468</v>
      </c>
      <c r="G269">
        <f t="shared" si="30"/>
        <v>43.033685852348498</v>
      </c>
      <c r="H269">
        <f t="shared" si="31"/>
        <v>33.194291999580678</v>
      </c>
      <c r="I269">
        <f t="shared" si="32"/>
        <v>67.352104787541023</v>
      </c>
      <c r="J269">
        <f t="shared" ref="J269:J332" si="34">$G269/$I269*100</f>
        <v>63.893602119928083</v>
      </c>
      <c r="L269">
        <f t="shared" si="33"/>
        <v>0.63893602119928083</v>
      </c>
    </row>
    <row r="270" spans="1:12" x14ac:dyDescent="0.2">
      <c r="A270" s="2">
        <v>0.5</v>
      </c>
      <c r="B270" s="2">
        <v>16</v>
      </c>
      <c r="C270" s="2">
        <v>8</v>
      </c>
      <c r="D270" s="7">
        <v>16</v>
      </c>
      <c r="E270">
        <f t="shared" si="28"/>
        <v>43.166666666666544</v>
      </c>
      <c r="F270">
        <f t="shared" si="29"/>
        <v>0.71944444444444244</v>
      </c>
      <c r="G270">
        <f t="shared" si="30"/>
        <v>42.767233208952618</v>
      </c>
      <c r="H270">
        <f t="shared" si="31"/>
        <v>33.194291999580678</v>
      </c>
      <c r="I270">
        <f t="shared" si="32"/>
        <v>67.352104787541023</v>
      </c>
      <c r="J270">
        <f t="shared" si="34"/>
        <v>63.497990662444479</v>
      </c>
      <c r="L270">
        <f t="shared" si="33"/>
        <v>0.63497990662444481</v>
      </c>
    </row>
    <row r="271" spans="1:12" x14ac:dyDescent="0.2">
      <c r="A271" s="2">
        <v>0.5</v>
      </c>
      <c r="B271" s="2">
        <v>16</v>
      </c>
      <c r="C271" s="2">
        <v>8</v>
      </c>
      <c r="D271" s="7">
        <v>16</v>
      </c>
      <c r="E271">
        <f t="shared" si="28"/>
        <v>43.333333333333215</v>
      </c>
      <c r="F271">
        <f t="shared" si="29"/>
        <v>0.72222222222222021</v>
      </c>
      <c r="G271">
        <f t="shared" si="30"/>
        <v>42.508367634604369</v>
      </c>
      <c r="H271">
        <f t="shared" si="31"/>
        <v>33.194291999580678</v>
      </c>
      <c r="I271">
        <f t="shared" si="32"/>
        <v>67.352104787541023</v>
      </c>
      <c r="J271">
        <f t="shared" si="34"/>
        <v>63.113643988847826</v>
      </c>
      <c r="L271">
        <f t="shared" si="33"/>
        <v>0.63113643988847823</v>
      </c>
    </row>
    <row r="272" spans="1:12" x14ac:dyDescent="0.2">
      <c r="A272" s="2">
        <v>0.5</v>
      </c>
      <c r="B272" s="2">
        <v>16</v>
      </c>
      <c r="C272" s="2">
        <v>8</v>
      </c>
      <c r="D272" s="7">
        <v>16</v>
      </c>
      <c r="E272">
        <f t="shared" si="28"/>
        <v>43.499999999999879</v>
      </c>
      <c r="F272">
        <f t="shared" si="29"/>
        <v>0.72499999999999798</v>
      </c>
      <c r="G272">
        <f t="shared" si="30"/>
        <v>42.256873092352492</v>
      </c>
      <c r="H272">
        <f t="shared" si="31"/>
        <v>33.194291999580678</v>
      </c>
      <c r="I272">
        <f t="shared" si="32"/>
        <v>67.352104787541023</v>
      </c>
      <c r="J272">
        <f t="shared" si="34"/>
        <v>62.740241341602868</v>
      </c>
      <c r="L272">
        <f t="shared" si="33"/>
        <v>0.62740241341602865</v>
      </c>
    </row>
    <row r="273" spans="1:12" x14ac:dyDescent="0.2">
      <c r="A273" s="2">
        <v>0.5</v>
      </c>
      <c r="B273" s="2">
        <v>16</v>
      </c>
      <c r="C273" s="2">
        <v>8</v>
      </c>
      <c r="D273" s="7">
        <v>16</v>
      </c>
      <c r="E273">
        <f t="shared" si="28"/>
        <v>43.666666666666544</v>
      </c>
      <c r="F273">
        <f t="shared" si="29"/>
        <v>0.72777777777777575</v>
      </c>
      <c r="G273">
        <f t="shared" si="30"/>
        <v>42.012539696760108</v>
      </c>
      <c r="H273">
        <f t="shared" si="31"/>
        <v>33.194291999580678</v>
      </c>
      <c r="I273">
        <f t="shared" si="32"/>
        <v>67.352104787541023</v>
      </c>
      <c r="J273">
        <f t="shared" si="34"/>
        <v>62.377471096540546</v>
      </c>
      <c r="L273">
        <f t="shared" si="33"/>
        <v>0.62377471096540549</v>
      </c>
    </row>
    <row r="274" spans="1:12" x14ac:dyDescent="0.2">
      <c r="A274" s="2">
        <v>0.5</v>
      </c>
      <c r="B274" s="2">
        <v>16</v>
      </c>
      <c r="C274" s="2">
        <v>8</v>
      </c>
      <c r="D274" s="7">
        <v>16</v>
      </c>
      <c r="E274">
        <f t="shared" si="28"/>
        <v>43.833333333333208</v>
      </c>
      <c r="F274">
        <f t="shared" si="29"/>
        <v>0.73055555555555352</v>
      </c>
      <c r="G274">
        <f t="shared" si="30"/>
        <v>41.775163538744266</v>
      </c>
      <c r="H274">
        <f t="shared" si="31"/>
        <v>33.194291999580678</v>
      </c>
      <c r="I274">
        <f t="shared" si="32"/>
        <v>67.352104787541023</v>
      </c>
      <c r="J274">
        <f t="shared" si="34"/>
        <v>62.025030502791282</v>
      </c>
      <c r="L274">
        <f t="shared" si="33"/>
        <v>0.62025030502791278</v>
      </c>
    </row>
    <row r="275" spans="1:12" x14ac:dyDescent="0.2">
      <c r="A275" s="2">
        <v>0.5</v>
      </c>
      <c r="B275" s="2">
        <v>16</v>
      </c>
      <c r="C275" s="2">
        <v>8</v>
      </c>
      <c r="D275" s="7">
        <v>16</v>
      </c>
      <c r="E275">
        <f t="shared" si="28"/>
        <v>43.999999999999879</v>
      </c>
      <c r="F275">
        <f t="shared" si="29"/>
        <v>0.73333333333333128</v>
      </c>
      <c r="G275">
        <f t="shared" si="30"/>
        <v>41.544546515403063</v>
      </c>
      <c r="H275">
        <f t="shared" si="31"/>
        <v>33.194291999580678</v>
      </c>
      <c r="I275">
        <f t="shared" si="32"/>
        <v>67.352104787541023</v>
      </c>
      <c r="J275">
        <f t="shared" si="34"/>
        <v>61.682625430123281</v>
      </c>
      <c r="L275">
        <f t="shared" si="33"/>
        <v>0.61682625430123283</v>
      </c>
    </row>
    <row r="276" spans="1:12" x14ac:dyDescent="0.2">
      <c r="A276" s="2">
        <v>0.5</v>
      </c>
      <c r="B276" s="2">
        <v>16</v>
      </c>
      <c r="C276" s="2">
        <v>8</v>
      </c>
      <c r="D276" s="7">
        <v>16</v>
      </c>
      <c r="E276">
        <f t="shared" si="28"/>
        <v>44.166666666666544</v>
      </c>
      <c r="F276">
        <f t="shared" si="29"/>
        <v>0.73611111111110905</v>
      </c>
      <c r="G276">
        <f t="shared" si="30"/>
        <v>41.320496164688372</v>
      </c>
      <c r="H276">
        <f t="shared" si="31"/>
        <v>33.194291999580678</v>
      </c>
      <c r="I276">
        <f t="shared" si="32"/>
        <v>67.352104787541023</v>
      </c>
      <c r="J276">
        <f t="shared" si="34"/>
        <v>61.349970123475558</v>
      </c>
      <c r="L276">
        <f t="shared" si="33"/>
        <v>0.61349970123475561</v>
      </c>
    </row>
    <row r="277" spans="1:12" x14ac:dyDescent="0.2">
      <c r="A277" s="2">
        <v>0.5</v>
      </c>
      <c r="B277" s="2">
        <v>16</v>
      </c>
      <c r="C277" s="2">
        <v>8</v>
      </c>
      <c r="D277" s="7">
        <v>16</v>
      </c>
      <c r="E277">
        <f t="shared" si="28"/>
        <v>44.333333333333208</v>
      </c>
      <c r="F277">
        <f t="shared" si="29"/>
        <v>0.73888888888888682</v>
      </c>
      <c r="G277">
        <f t="shared" si="30"/>
        <v>41.102825504786104</v>
      </c>
      <c r="H277">
        <f t="shared" si="31"/>
        <v>33.194291999580678</v>
      </c>
      <c r="I277">
        <f t="shared" si="32"/>
        <v>67.352104787541023</v>
      </c>
      <c r="J277">
        <f t="shared" si="34"/>
        <v>61.026786964480159</v>
      </c>
      <c r="L277">
        <f t="shared" si="33"/>
        <v>0.61026786964480162</v>
      </c>
    </row>
    <row r="278" spans="1:12" x14ac:dyDescent="0.2">
      <c r="A278" s="2">
        <v>0.5</v>
      </c>
      <c r="B278" s="2">
        <v>16</v>
      </c>
      <c r="C278" s="2">
        <v>8</v>
      </c>
      <c r="D278" s="7">
        <v>16</v>
      </c>
      <c r="E278">
        <f t="shared" si="28"/>
        <v>44.499999999999872</v>
      </c>
      <c r="F278">
        <f t="shared" si="29"/>
        <v>0.74166666666666459</v>
      </c>
      <c r="G278">
        <f t="shared" si="30"/>
        <v>40.891352878070045</v>
      </c>
      <c r="H278">
        <f t="shared" si="31"/>
        <v>33.194291999580678</v>
      </c>
      <c r="I278">
        <f t="shared" si="32"/>
        <v>67.352104787541023</v>
      </c>
      <c r="J278">
        <f t="shared" si="34"/>
        <v>60.712806239775063</v>
      </c>
      <c r="L278">
        <f t="shared" si="33"/>
        <v>0.60712806239775063</v>
      </c>
    </row>
    <row r="279" spans="1:12" x14ac:dyDescent="0.2">
      <c r="A279" s="2">
        <v>0.5</v>
      </c>
      <c r="B279" s="2">
        <v>16</v>
      </c>
      <c r="C279" s="2">
        <v>8</v>
      </c>
      <c r="D279" s="7">
        <v>16</v>
      </c>
      <c r="E279">
        <f t="shared" si="28"/>
        <v>44.666666666666544</v>
      </c>
      <c r="F279">
        <f t="shared" si="29"/>
        <v>0.74444444444444235</v>
      </c>
      <c r="G279">
        <f t="shared" si="30"/>
        <v>40.685901799499014</v>
      </c>
      <c r="H279">
        <f t="shared" si="31"/>
        <v>33.194291999580678</v>
      </c>
      <c r="I279">
        <f t="shared" si="32"/>
        <v>67.352104787541023</v>
      </c>
      <c r="J279">
        <f t="shared" si="34"/>
        <v>60.40776591591419</v>
      </c>
      <c r="L279">
        <f t="shared" si="33"/>
        <v>0.60407765915914191</v>
      </c>
    </row>
    <row r="280" spans="1:12" x14ac:dyDescent="0.2">
      <c r="A280" s="2">
        <v>0.5</v>
      </c>
      <c r="B280" s="2">
        <v>16</v>
      </c>
      <c r="C280" s="2">
        <v>8</v>
      </c>
      <c r="D280" s="7">
        <v>16</v>
      </c>
      <c r="E280">
        <f t="shared" si="28"/>
        <v>44.833333333333208</v>
      </c>
      <c r="F280">
        <f t="shared" si="29"/>
        <v>0.74722222222222012</v>
      </c>
      <c r="G280">
        <f t="shared" si="30"/>
        <v>40.4863008093308</v>
      </c>
      <c r="H280">
        <f t="shared" si="31"/>
        <v>33.194291999580678</v>
      </c>
      <c r="I280">
        <f t="shared" si="32"/>
        <v>67.352104787541023</v>
      </c>
      <c r="J280">
        <f t="shared" si="34"/>
        <v>60.111411420686686</v>
      </c>
      <c r="L280">
        <f t="shared" si="33"/>
        <v>0.60111411420686689</v>
      </c>
    </row>
    <row r="281" spans="1:12" x14ac:dyDescent="0.2">
      <c r="A281" s="2">
        <v>0.5</v>
      </c>
      <c r="B281" s="2">
        <v>16</v>
      </c>
      <c r="C281" s="2">
        <v>8</v>
      </c>
      <c r="D281" s="7">
        <v>16</v>
      </c>
      <c r="E281">
        <f t="shared" si="28"/>
        <v>44.999999999999872</v>
      </c>
      <c r="F281">
        <f t="shared" si="29"/>
        <v>0.74999999999999789</v>
      </c>
      <c r="G281">
        <f t="shared" si="30"/>
        <v>40.292383330029963</v>
      </c>
      <c r="H281">
        <f t="shared" si="31"/>
        <v>33.194291999580678</v>
      </c>
      <c r="I281">
        <f t="shared" si="32"/>
        <v>67.352104787541023</v>
      </c>
      <c r="J281">
        <f t="shared" si="34"/>
        <v>59.823495430663009</v>
      </c>
      <c r="L281">
        <f t="shared" si="33"/>
        <v>0.5982349543066301</v>
      </c>
    </row>
    <row r="282" spans="1:12" x14ac:dyDescent="0.2">
      <c r="A282" s="2">
        <v>0.5</v>
      </c>
      <c r="B282" s="2">
        <v>8</v>
      </c>
      <c r="C282" s="2">
        <v>8</v>
      </c>
      <c r="D282" s="7">
        <v>8</v>
      </c>
      <c r="E282">
        <f t="shared" si="28"/>
        <v>45.166666666666536</v>
      </c>
      <c r="F282">
        <f t="shared" si="29"/>
        <v>0.75277777777777566</v>
      </c>
      <c r="G282">
        <f t="shared" si="30"/>
        <v>39.624535472455605</v>
      </c>
      <c r="H282">
        <f t="shared" si="31"/>
        <v>16.597145999790339</v>
      </c>
      <c r="I282">
        <f t="shared" si="32"/>
        <v>67.352104787541023</v>
      </c>
      <c r="J282">
        <f t="shared" si="34"/>
        <v>58.831918612564962</v>
      </c>
      <c r="L282">
        <f t="shared" si="33"/>
        <v>0.5883191861256496</v>
      </c>
    </row>
    <row r="283" spans="1:12" x14ac:dyDescent="0.2">
      <c r="A283" s="2">
        <v>0.5</v>
      </c>
      <c r="B283" s="2">
        <v>8</v>
      </c>
      <c r="C283" s="2">
        <v>8</v>
      </c>
      <c r="D283" s="7">
        <v>8</v>
      </c>
      <c r="E283">
        <f t="shared" si="28"/>
        <v>45.333333333333208</v>
      </c>
      <c r="F283">
        <f t="shared" si="29"/>
        <v>0.75555555555555343</v>
      </c>
      <c r="G283">
        <f t="shared" si="30"/>
        <v>38.975704156598198</v>
      </c>
      <c r="H283">
        <f t="shared" si="31"/>
        <v>16.597145999790339</v>
      </c>
      <c r="I283">
        <f t="shared" si="32"/>
        <v>67.352104787541023</v>
      </c>
      <c r="J283">
        <f t="shared" si="34"/>
        <v>57.868576311824526</v>
      </c>
      <c r="L283">
        <f t="shared" si="33"/>
        <v>0.57868576311824527</v>
      </c>
    </row>
    <row r="284" spans="1:12" x14ac:dyDescent="0.2">
      <c r="A284" s="2">
        <v>0.5</v>
      </c>
      <c r="B284" s="2">
        <v>8</v>
      </c>
      <c r="C284" s="2">
        <v>8</v>
      </c>
      <c r="D284" s="7">
        <v>8</v>
      </c>
      <c r="E284">
        <f t="shared" si="28"/>
        <v>45.499999999999872</v>
      </c>
      <c r="F284">
        <f t="shared" si="29"/>
        <v>0.75833333333333119</v>
      </c>
      <c r="G284">
        <f t="shared" si="30"/>
        <v>38.345347898563205</v>
      </c>
      <c r="H284">
        <f t="shared" si="31"/>
        <v>16.597145999790339</v>
      </c>
      <c r="I284">
        <f t="shared" si="32"/>
        <v>67.352104787541023</v>
      </c>
      <c r="J284">
        <f t="shared" si="34"/>
        <v>56.932664568571035</v>
      </c>
      <c r="L284">
        <f t="shared" si="33"/>
        <v>0.56932664568571034</v>
      </c>
    </row>
    <row r="285" spans="1:12" x14ac:dyDescent="0.2">
      <c r="A285" s="2">
        <v>0.5</v>
      </c>
      <c r="B285" s="2">
        <v>8</v>
      </c>
      <c r="C285" s="2">
        <v>8</v>
      </c>
      <c r="D285" s="7">
        <v>8</v>
      </c>
      <c r="E285">
        <f t="shared" si="28"/>
        <v>45.666666666666536</v>
      </c>
      <c r="F285">
        <f t="shared" si="29"/>
        <v>0.76111111111110896</v>
      </c>
      <c r="G285">
        <f t="shared" si="30"/>
        <v>37.732940632864583</v>
      </c>
      <c r="H285">
        <f t="shared" si="31"/>
        <v>16.597145999790339</v>
      </c>
      <c r="I285">
        <f t="shared" si="32"/>
        <v>67.352104787541023</v>
      </c>
      <c r="J285">
        <f t="shared" si="34"/>
        <v>56.023402315178316</v>
      </c>
      <c r="L285">
        <f t="shared" si="33"/>
        <v>0.56023402315178317</v>
      </c>
    </row>
    <row r="286" spans="1:12" x14ac:dyDescent="0.2">
      <c r="A286" s="2">
        <v>0.5</v>
      </c>
      <c r="B286" s="2">
        <v>8</v>
      </c>
      <c r="C286" s="2">
        <v>8</v>
      </c>
      <c r="D286" s="7">
        <v>8</v>
      </c>
      <c r="E286">
        <f t="shared" si="28"/>
        <v>45.833333333333201</v>
      </c>
      <c r="F286">
        <f t="shared" si="29"/>
        <v>0.76388888888888673</v>
      </c>
      <c r="G286">
        <f t="shared" si="30"/>
        <v>37.137971273395408</v>
      </c>
      <c r="H286">
        <f t="shared" si="31"/>
        <v>16.597145999790339</v>
      </c>
      <c r="I286">
        <f t="shared" si="32"/>
        <v>67.352104787541023</v>
      </c>
      <c r="J286">
        <f t="shared" si="34"/>
        <v>55.140030724422573</v>
      </c>
      <c r="L286">
        <f t="shared" si="33"/>
        <v>0.55140030724422573</v>
      </c>
    </row>
    <row r="287" spans="1:12" x14ac:dyDescent="0.2">
      <c r="A287" s="2">
        <v>0.5</v>
      </c>
      <c r="B287" s="2">
        <v>8</v>
      </c>
      <c r="C287" s="2">
        <v>8</v>
      </c>
      <c r="D287" s="7">
        <v>8</v>
      </c>
      <c r="E287">
        <f t="shared" si="28"/>
        <v>45.999999999999872</v>
      </c>
      <c r="F287">
        <f t="shared" si="29"/>
        <v>0.7666666666666645</v>
      </c>
      <c r="G287">
        <f t="shared" si="30"/>
        <v>36.559943286899632</v>
      </c>
      <c r="H287">
        <f t="shared" si="31"/>
        <v>16.597145999790339</v>
      </c>
      <c r="I287">
        <f t="shared" si="32"/>
        <v>67.352104787541023</v>
      </c>
      <c r="J287">
        <f t="shared" si="34"/>
        <v>54.281812576201169</v>
      </c>
      <c r="L287">
        <f t="shared" si="33"/>
        <v>0.54281812576201172</v>
      </c>
    </row>
    <row r="288" spans="1:12" x14ac:dyDescent="0.2">
      <c r="A288" s="2">
        <v>0.5</v>
      </c>
      <c r="B288" s="2">
        <v>8</v>
      </c>
      <c r="C288" s="2">
        <v>8</v>
      </c>
      <c r="D288" s="7">
        <v>8</v>
      </c>
      <c r="E288">
        <f t="shared" si="28"/>
        <v>46.166666666666536</v>
      </c>
      <c r="F288">
        <f t="shared" si="29"/>
        <v>0.76944444444444227</v>
      </c>
      <c r="G288">
        <f t="shared" si="30"/>
        <v>35.998374278588926</v>
      </c>
      <c r="H288">
        <f t="shared" si="31"/>
        <v>16.597145999790339</v>
      </c>
      <c r="I288">
        <f t="shared" si="32"/>
        <v>67.352104787541023</v>
      </c>
      <c r="J288">
        <f t="shared" si="34"/>
        <v>53.448031642283588</v>
      </c>
      <c r="L288">
        <f t="shared" si="33"/>
        <v>0.53448031642283589</v>
      </c>
    </row>
    <row r="289" spans="1:12" x14ac:dyDescent="0.2">
      <c r="A289" s="2">
        <v>0.5</v>
      </c>
      <c r="B289" s="2">
        <v>8</v>
      </c>
      <c r="C289" s="2">
        <v>8</v>
      </c>
      <c r="D289" s="7">
        <v>8</v>
      </c>
      <c r="E289">
        <f t="shared" si="28"/>
        <v>46.333333333333201</v>
      </c>
      <c r="F289">
        <f t="shared" si="29"/>
        <v>0.77222222222222003</v>
      </c>
      <c r="G289">
        <f t="shared" si="30"/>
        <v>35.452795589558832</v>
      </c>
      <c r="H289">
        <f t="shared" si="31"/>
        <v>16.597145999790339</v>
      </c>
      <c r="I289">
        <f t="shared" si="32"/>
        <v>67.352104787541023</v>
      </c>
      <c r="J289">
        <f t="shared" si="34"/>
        <v>52.637992088581299</v>
      </c>
      <c r="L289">
        <f t="shared" si="33"/>
        <v>0.52637992088581298</v>
      </c>
    </row>
    <row r="290" spans="1:12" x14ac:dyDescent="0.2">
      <c r="A290" s="2">
        <v>0.5</v>
      </c>
      <c r="B290" s="2">
        <v>8</v>
      </c>
      <c r="C290" s="2">
        <v>8</v>
      </c>
      <c r="D290" s="7">
        <v>8</v>
      </c>
      <c r="E290">
        <f t="shared" si="28"/>
        <v>46.499999999999865</v>
      </c>
      <c r="F290">
        <f t="shared" si="29"/>
        <v>0.7749999999999978</v>
      </c>
      <c r="G290">
        <f t="shared" si="30"/>
        <v>34.922751905668235</v>
      </c>
      <c r="H290">
        <f t="shared" si="31"/>
        <v>16.597145999790339</v>
      </c>
      <c r="I290">
        <f t="shared" si="32"/>
        <v>67.352104787541023</v>
      </c>
      <c r="J290">
        <f t="shared" si="34"/>
        <v>51.851017894437568</v>
      </c>
      <c r="L290">
        <f t="shared" si="33"/>
        <v>0.51851017894437568</v>
      </c>
    </row>
    <row r="291" spans="1:12" x14ac:dyDescent="0.2">
      <c r="A291" s="2">
        <v>0.5</v>
      </c>
      <c r="B291" s="2">
        <v>8</v>
      </c>
      <c r="C291" s="2">
        <v>8</v>
      </c>
      <c r="D291" s="7">
        <v>8</v>
      </c>
      <c r="E291">
        <f t="shared" si="28"/>
        <v>46.666666666666536</v>
      </c>
      <c r="F291">
        <f t="shared" si="29"/>
        <v>0.77777777777777557</v>
      </c>
      <c r="G291">
        <f t="shared" si="30"/>
        <v>34.407800877555736</v>
      </c>
      <c r="H291">
        <f t="shared" si="31"/>
        <v>16.597145999790339</v>
      </c>
      <c r="I291">
        <f t="shared" si="32"/>
        <v>67.352104787541023</v>
      </c>
      <c r="J291">
        <f t="shared" si="34"/>
        <v>51.086452288452591</v>
      </c>
      <c r="L291">
        <f t="shared" si="33"/>
        <v>0.51086452288452588</v>
      </c>
    </row>
    <row r="292" spans="1:12" x14ac:dyDescent="0.2">
      <c r="A292" s="2">
        <v>0.5</v>
      </c>
      <c r="B292" s="2">
        <v>8</v>
      </c>
      <c r="C292" s="2">
        <v>8</v>
      </c>
      <c r="D292" s="7">
        <v>8</v>
      </c>
      <c r="E292">
        <f t="shared" si="28"/>
        <v>46.833333333333201</v>
      </c>
      <c r="F292">
        <f t="shared" si="29"/>
        <v>0.78055555555555334</v>
      </c>
      <c r="G292">
        <f t="shared" si="30"/>
        <v>33.907512751475828</v>
      </c>
      <c r="H292">
        <f t="shared" si="31"/>
        <v>16.597145999790339</v>
      </c>
      <c r="I292">
        <f t="shared" si="32"/>
        <v>67.352104787541023</v>
      </c>
      <c r="J292">
        <f t="shared" si="34"/>
        <v>50.343657200373237</v>
      </c>
      <c r="L292">
        <f t="shared" si="33"/>
        <v>0.50343657200373237</v>
      </c>
    </row>
    <row r="293" spans="1:12" x14ac:dyDescent="0.2">
      <c r="A293" s="2">
        <v>0.5</v>
      </c>
      <c r="B293" s="2">
        <v>8</v>
      </c>
      <c r="C293" s="2">
        <v>8</v>
      </c>
      <c r="D293" s="7">
        <v>8</v>
      </c>
      <c r="E293">
        <f t="shared" si="28"/>
        <v>46.999999999999865</v>
      </c>
      <c r="F293">
        <f t="shared" si="29"/>
        <v>0.78333333333333111</v>
      </c>
      <c r="G293">
        <f t="shared" si="30"/>
        <v>33.42147001064675</v>
      </c>
      <c r="H293">
        <f t="shared" si="31"/>
        <v>16.597145999790339</v>
      </c>
      <c r="I293">
        <f t="shared" si="32"/>
        <v>67.352104787541023</v>
      </c>
      <c r="J293">
        <f t="shared" si="34"/>
        <v>49.622012728589802</v>
      </c>
      <c r="L293">
        <f t="shared" si="33"/>
        <v>0.49622012728589804</v>
      </c>
    </row>
    <row r="294" spans="1:12" x14ac:dyDescent="0.2">
      <c r="A294" s="2">
        <v>0.5</v>
      </c>
      <c r="B294" s="2">
        <v>8</v>
      </c>
      <c r="C294" s="2">
        <v>8</v>
      </c>
      <c r="D294" s="7">
        <v>8</v>
      </c>
      <c r="E294">
        <f t="shared" si="28"/>
        <v>47.166666666666529</v>
      </c>
      <c r="F294">
        <f t="shared" si="29"/>
        <v>0.78611111111110887</v>
      </c>
      <c r="G294">
        <f t="shared" si="30"/>
        <v>32.94926702681078</v>
      </c>
      <c r="H294">
        <f t="shared" si="31"/>
        <v>16.597145999790339</v>
      </c>
      <c r="I294">
        <f t="shared" si="32"/>
        <v>67.352104787541023</v>
      </c>
      <c r="J294">
        <f t="shared" si="34"/>
        <v>48.920916622795467</v>
      </c>
      <c r="L294">
        <f t="shared" si="33"/>
        <v>0.48920916622795468</v>
      </c>
    </row>
    <row r="295" spans="1:12" x14ac:dyDescent="0.2">
      <c r="A295" s="2">
        <v>0.5</v>
      </c>
      <c r="B295" s="2">
        <v>8</v>
      </c>
      <c r="C295" s="2">
        <v>8</v>
      </c>
      <c r="D295" s="7">
        <v>8</v>
      </c>
      <c r="E295">
        <f t="shared" si="28"/>
        <v>47.333333333333201</v>
      </c>
      <c r="F295">
        <f t="shared" si="29"/>
        <v>0.78888888888888664</v>
      </c>
      <c r="G295">
        <f t="shared" si="30"/>
        <v>32.490509721716073</v>
      </c>
      <c r="H295">
        <f t="shared" si="31"/>
        <v>16.597145999790339</v>
      </c>
      <c r="I295">
        <f t="shared" si="32"/>
        <v>67.352104787541023</v>
      </c>
      <c r="J295">
        <f t="shared" si="34"/>
        <v>48.23978378137673</v>
      </c>
      <c r="L295">
        <f t="shared" si="33"/>
        <v>0.48239783781376727</v>
      </c>
    </row>
    <row r="296" spans="1:12" x14ac:dyDescent="0.2">
      <c r="A296" s="2">
        <v>0.5</v>
      </c>
      <c r="B296" s="2">
        <v>8</v>
      </c>
      <c r="C296" s="2">
        <v>8</v>
      </c>
      <c r="D296" s="7">
        <v>8</v>
      </c>
      <c r="E296">
        <f t="shared" si="28"/>
        <v>47.499999999999865</v>
      </c>
      <c r="F296">
        <f t="shared" si="29"/>
        <v>0.79166666666666441</v>
      </c>
      <c r="G296">
        <f t="shared" si="30"/>
        <v>32.044815238237611</v>
      </c>
      <c r="H296">
        <f t="shared" si="31"/>
        <v>16.597145999790339</v>
      </c>
      <c r="I296">
        <f t="shared" si="32"/>
        <v>67.352104787541023</v>
      </c>
      <c r="J296">
        <f t="shared" si="34"/>
        <v>47.578045763115256</v>
      </c>
      <c r="L296">
        <f t="shared" si="33"/>
        <v>0.47578045763115256</v>
      </c>
    </row>
    <row r="297" spans="1:12" x14ac:dyDescent="0.2">
      <c r="A297" s="2">
        <v>0.5</v>
      </c>
      <c r="B297" s="2">
        <v>8</v>
      </c>
      <c r="C297" s="2">
        <v>8</v>
      </c>
      <c r="D297" s="7">
        <v>8</v>
      </c>
      <c r="E297">
        <f t="shared" si="28"/>
        <v>47.666666666666529</v>
      </c>
      <c r="F297">
        <f t="shared" si="29"/>
        <v>0.79444444444444218</v>
      </c>
      <c r="G297">
        <f t="shared" si="30"/>
        <v>31.611811620862799</v>
      </c>
      <c r="H297">
        <f t="shared" si="31"/>
        <v>16.597145999790339</v>
      </c>
      <c r="I297">
        <f t="shared" si="32"/>
        <v>67.352104787541023</v>
      </c>
      <c r="J297">
        <f t="shared" si="34"/>
        <v>46.935150312793844</v>
      </c>
      <c r="L297">
        <f t="shared" si="33"/>
        <v>0.46935150312793844</v>
      </c>
    </row>
    <row r="298" spans="1:12" x14ac:dyDescent="0.2">
      <c r="A298" s="48">
        <v>0.5</v>
      </c>
      <c r="B298" s="48">
        <v>8</v>
      </c>
      <c r="C298" s="48">
        <v>8</v>
      </c>
      <c r="D298" s="45">
        <v>8</v>
      </c>
      <c r="E298" s="1">
        <f t="shared" si="28"/>
        <v>47.833333333333194</v>
      </c>
      <c r="F298" s="1">
        <f t="shared" si="29"/>
        <v>0.79722222222221995</v>
      </c>
      <c r="G298" s="1">
        <f t="shared" si="30"/>
        <v>31.191137505274973</v>
      </c>
      <c r="H298" s="1">
        <f t="shared" si="31"/>
        <v>16.597145999790339</v>
      </c>
      <c r="I298">
        <f t="shared" si="32"/>
        <v>67.352104787541023</v>
      </c>
      <c r="J298">
        <f t="shared" si="34"/>
        <v>46.310560900310264</v>
      </c>
      <c r="K298" s="1"/>
      <c r="L298">
        <f t="shared" si="33"/>
        <v>0.46310560900310266</v>
      </c>
    </row>
    <row r="299" spans="1:12" x14ac:dyDescent="0.2">
      <c r="A299" s="2"/>
      <c r="B299" s="2">
        <v>8</v>
      </c>
      <c r="C299" s="2">
        <v>8</v>
      </c>
      <c r="D299" s="7">
        <v>8</v>
      </c>
      <c r="E299">
        <f t="shared" si="28"/>
        <v>47.999999999999865</v>
      </c>
      <c r="F299">
        <f t="shared" si="29"/>
        <v>0.79999999999999771</v>
      </c>
      <c r="G299">
        <f t="shared" si="30"/>
        <v>30.782441816775872</v>
      </c>
      <c r="H299">
        <f t="shared" si="31"/>
        <v>16.597145999790339</v>
      </c>
      <c r="I299">
        <f t="shared" si="32"/>
        <v>67.352104787541023</v>
      </c>
      <c r="J299">
        <f t="shared" si="34"/>
        <v>45.703756272914717</v>
      </c>
      <c r="L299">
        <f t="shared" si="33"/>
        <v>0.4570375627291472</v>
      </c>
    </row>
    <row r="300" spans="1:12" x14ac:dyDescent="0.2">
      <c r="A300" s="2"/>
      <c r="B300" s="2">
        <v>8</v>
      </c>
      <c r="C300" s="2">
        <v>8</v>
      </c>
      <c r="D300" s="7">
        <v>8</v>
      </c>
      <c r="E300">
        <f t="shared" si="28"/>
        <v>48.166666666666529</v>
      </c>
      <c r="F300">
        <f t="shared" si="29"/>
        <v>0.80277777777777548</v>
      </c>
      <c r="G300">
        <f t="shared" si="30"/>
        <v>30.385383477295317</v>
      </c>
      <c r="H300">
        <f t="shared" si="31"/>
        <v>16.597145999790339</v>
      </c>
      <c r="I300">
        <f t="shared" si="32"/>
        <v>67.352104787541023</v>
      </c>
      <c r="J300">
        <f t="shared" si="34"/>
        <v>45.114230020196914</v>
      </c>
      <c r="L300">
        <f t="shared" si="33"/>
        <v>0.45114230020196916</v>
      </c>
    </row>
    <row r="301" spans="1:12" x14ac:dyDescent="0.2">
      <c r="A301" s="2"/>
      <c r="B301" s="2">
        <v>8</v>
      </c>
      <c r="C301" s="2">
        <v>8</v>
      </c>
      <c r="D301" s="7">
        <v>8</v>
      </c>
      <c r="E301">
        <f t="shared" si="28"/>
        <v>48.333333333333194</v>
      </c>
      <c r="F301">
        <f t="shared" si="29"/>
        <v>0.80555555555555325</v>
      </c>
      <c r="G301">
        <f t="shared" si="30"/>
        <v>29.999631120743597</v>
      </c>
      <c r="H301">
        <f t="shared" si="31"/>
        <v>16.597145999790339</v>
      </c>
      <c r="I301">
        <f t="shared" si="32"/>
        <v>67.352104787541023</v>
      </c>
      <c r="J301">
        <f t="shared" si="34"/>
        <v>44.541490151459989</v>
      </c>
      <c r="L301">
        <f t="shared" si="33"/>
        <v>0.44541490151459989</v>
      </c>
    </row>
    <row r="302" spans="1:12" x14ac:dyDescent="0.2">
      <c r="A302" s="2"/>
      <c r="B302" s="2">
        <v>8</v>
      </c>
      <c r="C302" s="2">
        <v>8</v>
      </c>
      <c r="D302" s="7">
        <v>8</v>
      </c>
      <c r="E302">
        <f t="shared" si="28"/>
        <v>48.499999999999858</v>
      </c>
      <c r="F302">
        <f t="shared" si="29"/>
        <v>0.80833333333333102</v>
      </c>
      <c r="G302">
        <f t="shared" si="30"/>
        <v>29.624862816469022</v>
      </c>
      <c r="H302">
        <f t="shared" si="31"/>
        <v>16.597145999790339</v>
      </c>
      <c r="I302">
        <f t="shared" si="32"/>
        <v>67.352104787541023</v>
      </c>
      <c r="J302">
        <f t="shared" si="34"/>
        <v>43.985058685128294</v>
      </c>
      <c r="L302">
        <f t="shared" si="33"/>
        <v>0.43985058685128292</v>
      </c>
    </row>
    <row r="303" spans="1:12" x14ac:dyDescent="0.2">
      <c r="A303" s="2"/>
      <c r="B303" s="2">
        <v>8</v>
      </c>
      <c r="C303" s="2">
        <v>8</v>
      </c>
      <c r="D303" s="7">
        <v>8</v>
      </c>
      <c r="E303">
        <f t="shared" si="28"/>
        <v>48.666666666666529</v>
      </c>
      <c r="F303">
        <f t="shared" si="29"/>
        <v>0.81111111111110878</v>
      </c>
      <c r="G303">
        <f t="shared" si="30"/>
        <v>29.260765800589851</v>
      </c>
      <c r="H303">
        <f t="shared" si="31"/>
        <v>16.597145999790339</v>
      </c>
      <c r="I303">
        <f t="shared" si="32"/>
        <v>67.352104787541023</v>
      </c>
      <c r="J303">
        <f t="shared" si="34"/>
        <v>43.444471249846657</v>
      </c>
      <c r="L303">
        <f t="shared" si="33"/>
        <v>0.43444471249846656</v>
      </c>
    </row>
    <row r="304" spans="1:12" x14ac:dyDescent="0.2">
      <c r="A304" s="2"/>
      <c r="B304" s="2">
        <v>8</v>
      </c>
      <c r="C304" s="2">
        <v>8</v>
      </c>
      <c r="D304" s="7">
        <v>8</v>
      </c>
      <c r="E304">
        <f t="shared" si="28"/>
        <v>48.833333333333194</v>
      </c>
      <c r="F304">
        <f t="shared" si="29"/>
        <v>0.81388888888888655</v>
      </c>
      <c r="G304">
        <f t="shared" si="30"/>
        <v>28.907036214976355</v>
      </c>
      <c r="H304">
        <f t="shared" si="31"/>
        <v>16.597145999790339</v>
      </c>
      <c r="I304">
        <f t="shared" si="32"/>
        <v>67.352104787541023</v>
      </c>
      <c r="J304">
        <f t="shared" si="34"/>
        <v>42.919276696937999</v>
      </c>
      <c r="L304">
        <f t="shared" si="33"/>
        <v>0.42919276696937997</v>
      </c>
    </row>
    <row r="305" spans="1:12" x14ac:dyDescent="0.2">
      <c r="A305" s="2"/>
      <c r="B305" s="2">
        <v>8</v>
      </c>
      <c r="C305" s="2">
        <v>8</v>
      </c>
      <c r="D305" s="7">
        <v>8</v>
      </c>
      <c r="E305">
        <f t="shared" si="28"/>
        <v>48.999999999999858</v>
      </c>
      <c r="F305">
        <f t="shared" si="29"/>
        <v>0.81666666666666432</v>
      </c>
      <c r="G305">
        <f t="shared" si="30"/>
        <v>28.563378853665217</v>
      </c>
      <c r="H305">
        <f t="shared" si="31"/>
        <v>16.597145999790339</v>
      </c>
      <c r="I305">
        <f t="shared" si="32"/>
        <v>67.352104787541023</v>
      </c>
      <c r="J305">
        <f t="shared" si="34"/>
        <v>42.409036723896044</v>
      </c>
      <c r="L305">
        <f t="shared" si="33"/>
        <v>0.42409036723896043</v>
      </c>
    </row>
    <row r="306" spans="1:12" x14ac:dyDescent="0.2">
      <c r="A306" s="2"/>
      <c r="B306" s="2">
        <v>8</v>
      </c>
      <c r="C306" s="2">
        <v>8</v>
      </c>
      <c r="D306" s="7">
        <v>8</v>
      </c>
      <c r="E306">
        <f t="shared" si="28"/>
        <v>49.166666666666522</v>
      </c>
      <c r="F306">
        <f t="shared" si="29"/>
        <v>0.81944444444444209</v>
      </c>
      <c r="G306">
        <f t="shared" si="30"/>
        <v>28.229506916494607</v>
      </c>
      <c r="H306">
        <f t="shared" si="31"/>
        <v>16.597145999790339</v>
      </c>
      <c r="I306">
        <f t="shared" si="32"/>
        <v>67.352104787541023</v>
      </c>
      <c r="J306">
        <f t="shared" si="34"/>
        <v>41.913325508598774</v>
      </c>
      <c r="L306">
        <f t="shared" si="33"/>
        <v>0.41913325508598775</v>
      </c>
    </row>
    <row r="307" spans="1:12" x14ac:dyDescent="0.2">
      <c r="A307" s="2"/>
      <c r="B307" s="2">
        <v>8</v>
      </c>
      <c r="C307" s="2">
        <v>8</v>
      </c>
      <c r="D307" s="7">
        <v>8</v>
      </c>
      <c r="E307">
        <f t="shared" si="28"/>
        <v>49.333333333333194</v>
      </c>
      <c r="F307">
        <f t="shared" si="29"/>
        <v>0.82222222222221986</v>
      </c>
      <c r="G307">
        <f t="shared" si="30"/>
        <v>27.905141769754358</v>
      </c>
      <c r="H307">
        <f t="shared" si="31"/>
        <v>16.597145999790339</v>
      </c>
      <c r="I307">
        <f t="shared" si="32"/>
        <v>67.352104787541023</v>
      </c>
      <c r="J307">
        <f t="shared" si="34"/>
        <v>41.43172935393747</v>
      </c>
      <c r="L307">
        <f t="shared" si="33"/>
        <v>0.41431729353937469</v>
      </c>
    </row>
    <row r="308" spans="1:12" x14ac:dyDescent="0.2">
      <c r="A308" s="2"/>
      <c r="B308" s="2">
        <v>8</v>
      </c>
      <c r="C308" s="2">
        <v>8</v>
      </c>
      <c r="D308" s="7">
        <v>8</v>
      </c>
      <c r="E308">
        <f t="shared" si="28"/>
        <v>49.499999999999858</v>
      </c>
      <c r="F308">
        <f t="shared" si="29"/>
        <v>0.82499999999999762</v>
      </c>
      <c r="G308">
        <f t="shared" si="30"/>
        <v>27.590012713651447</v>
      </c>
      <c r="H308">
        <f t="shared" si="31"/>
        <v>16.597145999790339</v>
      </c>
      <c r="I308">
        <f t="shared" si="32"/>
        <v>67.352104787541023</v>
      </c>
      <c r="J308">
        <f t="shared" si="34"/>
        <v>40.963846342564672</v>
      </c>
      <c r="L308">
        <f t="shared" si="33"/>
        <v>0.40963846342564669</v>
      </c>
    </row>
    <row r="309" spans="1:12" x14ac:dyDescent="0.2">
      <c r="A309" s="2"/>
      <c r="B309" s="2">
        <v>8</v>
      </c>
      <c r="C309" s="2">
        <v>8</v>
      </c>
      <c r="D309" s="7">
        <v>8</v>
      </c>
      <c r="E309">
        <f t="shared" si="28"/>
        <v>49.666666666666522</v>
      </c>
      <c r="F309">
        <f t="shared" si="29"/>
        <v>0.82777777777777539</v>
      </c>
      <c r="G309">
        <f t="shared" si="30"/>
        <v>27.283856756396784</v>
      </c>
      <c r="H309">
        <f t="shared" si="31"/>
        <v>16.597145999790339</v>
      </c>
      <c r="I309">
        <f t="shared" si="32"/>
        <v>67.352104787541023</v>
      </c>
      <c r="J309">
        <f t="shared" si="34"/>
        <v>40.509286001473008</v>
      </c>
      <c r="L309">
        <f t="shared" si="33"/>
        <v>0.40509286001473011</v>
      </c>
    </row>
    <row r="310" spans="1:12" x14ac:dyDescent="0.2">
      <c r="A310" s="2"/>
      <c r="B310" s="2">
        <v>8</v>
      </c>
      <c r="C310" s="2">
        <v>8</v>
      </c>
      <c r="D310" s="7">
        <v>8</v>
      </c>
      <c r="E310">
        <f t="shared" si="28"/>
        <v>49.833333333333186</v>
      </c>
      <c r="F310">
        <f t="shared" si="29"/>
        <v>0.83055555555555316</v>
      </c>
      <c r="G310">
        <f t="shared" si="30"/>
        <v>26.986418394724698</v>
      </c>
      <c r="H310">
        <f t="shared" si="31"/>
        <v>16.597145999790339</v>
      </c>
      <c r="I310">
        <f t="shared" si="32"/>
        <v>67.352104787541023</v>
      </c>
      <c r="J310">
        <f t="shared" si="34"/>
        <v>40.067668976124885</v>
      </c>
      <c r="L310">
        <f t="shared" si="33"/>
        <v>0.40067668976124887</v>
      </c>
    </row>
    <row r="311" spans="1:12" x14ac:dyDescent="0.2">
      <c r="A311" s="2"/>
      <c r="B311" s="2">
        <v>8</v>
      </c>
      <c r="C311" s="2">
        <v>8</v>
      </c>
      <c r="D311" s="7">
        <v>8</v>
      </c>
      <c r="E311">
        <f t="shared" si="28"/>
        <v>49.999999999999858</v>
      </c>
      <c r="F311">
        <f t="shared" si="29"/>
        <v>0.83333333333333093</v>
      </c>
      <c r="G311">
        <f t="shared" si="30"/>
        <v>26.69744940066203</v>
      </c>
      <c r="H311">
        <f t="shared" si="31"/>
        <v>16.597145999790339</v>
      </c>
      <c r="I311">
        <f t="shared" si="32"/>
        <v>67.352104787541023</v>
      </c>
      <c r="J311">
        <f t="shared" si="34"/>
        <v>39.638626713861207</v>
      </c>
      <c r="L311">
        <f t="shared" si="33"/>
        <v>0.39638626713861208</v>
      </c>
    </row>
    <row r="312" spans="1:12" x14ac:dyDescent="0.2">
      <c r="A312" s="2"/>
      <c r="B312" s="2">
        <v>4</v>
      </c>
      <c r="C312" s="2">
        <v>16</v>
      </c>
      <c r="D312" s="7">
        <v>4</v>
      </c>
      <c r="E312">
        <f t="shared" si="28"/>
        <v>50.166666666666522</v>
      </c>
      <c r="F312">
        <f t="shared" si="29"/>
        <v>0.8361111111111087</v>
      </c>
      <c r="G312">
        <f t="shared" si="30"/>
        <v>26.17698258697154</v>
      </c>
      <c r="H312">
        <f t="shared" si="31"/>
        <v>8.2985729998951694</v>
      </c>
      <c r="I312">
        <f t="shared" si="32"/>
        <v>67.352104787541023</v>
      </c>
      <c r="J312">
        <f t="shared" si="34"/>
        <v>38.865871630211963</v>
      </c>
      <c r="L312">
        <f t="shared" si="33"/>
        <v>0.38865871630211962</v>
      </c>
    </row>
    <row r="313" spans="1:12" x14ac:dyDescent="0.2">
      <c r="A313" s="2"/>
      <c r="B313" s="2">
        <v>4</v>
      </c>
      <c r="C313" s="2">
        <v>16</v>
      </c>
      <c r="D313" s="7">
        <v>4</v>
      </c>
      <c r="E313">
        <f t="shared" si="28"/>
        <v>50.333333333333186</v>
      </c>
      <c r="F313">
        <f t="shared" si="29"/>
        <v>0.83888888888888646</v>
      </c>
      <c r="G313">
        <f t="shared" si="30"/>
        <v>25.671335733789395</v>
      </c>
      <c r="H313">
        <f t="shared" si="31"/>
        <v>8.2985729998951694</v>
      </c>
      <c r="I313">
        <f t="shared" si="32"/>
        <v>67.352104787541023</v>
      </c>
      <c r="J313">
        <f t="shared" si="34"/>
        <v>38.115120254620685</v>
      </c>
      <c r="L313">
        <f t="shared" si="33"/>
        <v>0.38115120254620682</v>
      </c>
    </row>
    <row r="314" spans="1:12" x14ac:dyDescent="0.2">
      <c r="A314" s="2"/>
      <c r="B314" s="2">
        <v>4</v>
      </c>
      <c r="C314" s="2">
        <v>16</v>
      </c>
      <c r="D314" s="7">
        <v>4</v>
      </c>
      <c r="E314">
        <f t="shared" si="28"/>
        <v>50.499999999999851</v>
      </c>
      <c r="F314">
        <f t="shared" si="29"/>
        <v>0.84166666666666423</v>
      </c>
      <c r="G314">
        <f t="shared" si="30"/>
        <v>25.180086852193931</v>
      </c>
      <c r="H314">
        <f t="shared" si="31"/>
        <v>8.2985729998951694</v>
      </c>
      <c r="I314">
        <f t="shared" si="32"/>
        <v>67.352104787541023</v>
      </c>
      <c r="J314">
        <f t="shared" si="34"/>
        <v>37.38574604553682</v>
      </c>
      <c r="L314">
        <f t="shared" si="33"/>
        <v>0.37385746045536822</v>
      </c>
    </row>
    <row r="315" spans="1:12" x14ac:dyDescent="0.2">
      <c r="A315" s="2"/>
      <c r="B315" s="2">
        <v>4</v>
      </c>
      <c r="C315" s="2">
        <v>16</v>
      </c>
      <c r="D315" s="7">
        <v>4</v>
      </c>
      <c r="E315">
        <f t="shared" si="28"/>
        <v>50.666666666666522</v>
      </c>
      <c r="F315">
        <f t="shared" si="29"/>
        <v>0.844444444444442</v>
      </c>
      <c r="G315">
        <f t="shared" si="30"/>
        <v>24.702825969128842</v>
      </c>
      <c r="H315">
        <f t="shared" si="31"/>
        <v>8.2985729998951694</v>
      </c>
      <c r="I315">
        <f t="shared" si="32"/>
        <v>67.352104787541023</v>
      </c>
      <c r="J315">
        <f t="shared" si="34"/>
        <v>36.677140301780796</v>
      </c>
      <c r="L315">
        <f t="shared" si="33"/>
        <v>0.36677140301780797</v>
      </c>
    </row>
    <row r="316" spans="1:12" x14ac:dyDescent="0.2">
      <c r="A316" s="2"/>
      <c r="B316" s="2">
        <v>4</v>
      </c>
      <c r="C316" s="2">
        <v>16</v>
      </c>
      <c r="D316" s="7">
        <v>4</v>
      </c>
      <c r="E316">
        <f t="shared" si="28"/>
        <v>50.833333333333186</v>
      </c>
      <c r="F316">
        <f t="shared" si="29"/>
        <v>0.84722222222221977</v>
      </c>
      <c r="G316">
        <f t="shared" si="30"/>
        <v>24.239154785259075</v>
      </c>
      <c r="H316">
        <f t="shared" si="31"/>
        <v>8.2985729998951694</v>
      </c>
      <c r="I316">
        <f t="shared" si="32"/>
        <v>67.352104787541023</v>
      </c>
      <c r="J316">
        <f t="shared" si="34"/>
        <v>35.988711654550848</v>
      </c>
      <c r="L316">
        <f t="shared" si="33"/>
        <v>0.35988711654550848</v>
      </c>
    </row>
    <row r="317" spans="1:12" x14ac:dyDescent="0.2">
      <c r="A317" s="2"/>
      <c r="B317" s="2">
        <v>4</v>
      </c>
      <c r="C317" s="2">
        <v>16</v>
      </c>
      <c r="D317" s="7">
        <v>4</v>
      </c>
      <c r="E317">
        <f t="shared" si="28"/>
        <v>50.999999999999851</v>
      </c>
      <c r="F317">
        <f t="shared" si="29"/>
        <v>0.84999999999999754</v>
      </c>
      <c r="G317">
        <f t="shared" si="30"/>
        <v>23.788686342569058</v>
      </c>
      <c r="H317">
        <f t="shared" si="31"/>
        <v>8.2985729998951694</v>
      </c>
      <c r="I317">
        <f t="shared" si="32"/>
        <v>67.352104787541023</v>
      </c>
      <c r="J317">
        <f t="shared" si="34"/>
        <v>35.319885573894574</v>
      </c>
      <c r="L317">
        <f t="shared" si="33"/>
        <v>0.35319885573894572</v>
      </c>
    </row>
    <row r="318" spans="1:12" x14ac:dyDescent="0.2">
      <c r="A318" s="2"/>
      <c r="B318" s="2">
        <v>4</v>
      </c>
      <c r="C318" s="2">
        <v>16</v>
      </c>
      <c r="D318" s="7">
        <v>4</v>
      </c>
      <c r="E318">
        <f t="shared" si="28"/>
        <v>51.166666666666515</v>
      </c>
      <c r="F318">
        <f t="shared" si="29"/>
        <v>0.8527777777777753</v>
      </c>
      <c r="G318">
        <f t="shared" si="30"/>
        <v>23.351044701425874</v>
      </c>
      <c r="H318">
        <f t="shared" si="31"/>
        <v>8.2985729998951694</v>
      </c>
      <c r="I318">
        <f t="shared" si="32"/>
        <v>67.352104787541023</v>
      </c>
      <c r="J318">
        <f t="shared" si="34"/>
        <v>34.670103889233488</v>
      </c>
      <c r="L318">
        <f t="shared" si="33"/>
        <v>0.34670103889233489</v>
      </c>
    </row>
    <row r="319" spans="1:12" x14ac:dyDescent="0.2">
      <c r="A319" s="2"/>
      <c r="B319" s="2">
        <v>4</v>
      </c>
      <c r="C319" s="2">
        <v>16</v>
      </c>
      <c r="D319" s="7">
        <v>4</v>
      </c>
      <c r="E319">
        <f t="shared" si="28"/>
        <v>51.333333333333186</v>
      </c>
      <c r="F319">
        <f t="shared" si="29"/>
        <v>0.85555555555555307</v>
      </c>
      <c r="G319">
        <f t="shared" si="30"/>
        <v>22.925864626837836</v>
      </c>
      <c r="H319">
        <f t="shared" si="31"/>
        <v>8.2985729998951694</v>
      </c>
      <c r="I319">
        <f t="shared" si="32"/>
        <v>67.352104787541023</v>
      </c>
      <c r="J319">
        <f t="shared" si="34"/>
        <v>34.038824323540254</v>
      </c>
      <c r="L319">
        <f t="shared" si="33"/>
        <v>0.34038824323540257</v>
      </c>
    </row>
    <row r="320" spans="1:12" x14ac:dyDescent="0.2">
      <c r="A320" s="2"/>
      <c r="B320" s="2">
        <v>4</v>
      </c>
      <c r="C320" s="2">
        <v>16</v>
      </c>
      <c r="D320" s="7">
        <v>4</v>
      </c>
      <c r="E320">
        <f t="shared" si="28"/>
        <v>51.499999999999851</v>
      </c>
      <c r="F320">
        <f t="shared" si="29"/>
        <v>0.85833333333333084</v>
      </c>
      <c r="G320">
        <f t="shared" si="30"/>
        <v>22.512791283646653</v>
      </c>
      <c r="H320">
        <f t="shared" si="31"/>
        <v>8.2985729998951694</v>
      </c>
      <c r="I320">
        <f t="shared" si="32"/>
        <v>67.352104787541023</v>
      </c>
      <c r="J320">
        <f t="shared" si="34"/>
        <v>33.425520040779972</v>
      </c>
      <c r="L320">
        <f t="shared" si="33"/>
        <v>0.33425520040779971</v>
      </c>
    </row>
    <row r="321" spans="1:12" x14ac:dyDescent="0.2">
      <c r="A321" s="2"/>
      <c r="B321" s="2">
        <v>4</v>
      </c>
      <c r="C321" s="2">
        <v>16</v>
      </c>
      <c r="D321" s="7">
        <v>4</v>
      </c>
      <c r="E321">
        <f t="shared" si="28"/>
        <v>51.666666666666515</v>
      </c>
      <c r="F321">
        <f t="shared" si="29"/>
        <v>0.86111111111110861</v>
      </c>
      <c r="G321">
        <f t="shared" si="30"/>
        <v>22.111479940398819</v>
      </c>
      <c r="H321">
        <f t="shared" si="31"/>
        <v>8.2985729998951694</v>
      </c>
      <c r="I321">
        <f t="shared" si="32"/>
        <v>67.352104787541023</v>
      </c>
      <c r="J321">
        <f t="shared" si="34"/>
        <v>32.829679206237756</v>
      </c>
      <c r="L321">
        <f t="shared" si="33"/>
        <v>0.32829679206237755</v>
      </c>
    </row>
    <row r="322" spans="1:12" x14ac:dyDescent="0.2">
      <c r="A322" s="2"/>
      <c r="B322" s="2">
        <v>4</v>
      </c>
      <c r="C322" s="2">
        <v>16</v>
      </c>
      <c r="D322" s="7">
        <v>4</v>
      </c>
      <c r="E322">
        <f t="shared" si="28"/>
        <v>51.833333333333179</v>
      </c>
      <c r="F322">
        <f t="shared" si="29"/>
        <v>0.86388888888888637</v>
      </c>
      <c r="G322">
        <f t="shared" si="30"/>
        <v>21.721595681649056</v>
      </c>
      <c r="H322">
        <f t="shared" si="31"/>
        <v>8.2985729998951694</v>
      </c>
      <c r="I322">
        <f t="shared" si="32"/>
        <v>67.352104787541023</v>
      </c>
      <c r="J322">
        <f t="shared" si="34"/>
        <v>32.250804559365719</v>
      </c>
      <c r="L322">
        <f t="shared" si="33"/>
        <v>0.3225080455936572</v>
      </c>
    </row>
    <row r="323" spans="1:12" x14ac:dyDescent="0.2">
      <c r="A323" s="2"/>
      <c r="B323" s="2">
        <v>4</v>
      </c>
      <c r="C323" s="2">
        <v>16</v>
      </c>
      <c r="D323" s="7">
        <v>4</v>
      </c>
      <c r="E323">
        <f t="shared" si="28"/>
        <v>51.999999999999851</v>
      </c>
      <c r="F323">
        <f t="shared" si="29"/>
        <v>0.86666666666666414</v>
      </c>
      <c r="G323">
        <f t="shared" si="30"/>
        <v>21.342813128455742</v>
      </c>
      <c r="H323">
        <f t="shared" si="31"/>
        <v>8.2985729998951694</v>
      </c>
      <c r="I323">
        <f t="shared" si="32"/>
        <v>67.352104787541023</v>
      </c>
      <c r="J323">
        <f t="shared" si="34"/>
        <v>31.688412998792863</v>
      </c>
      <c r="L323">
        <f t="shared" si="33"/>
        <v>0.31688412998792864</v>
      </c>
    </row>
    <row r="324" spans="1:12" x14ac:dyDescent="0.2">
      <c r="A324" s="2"/>
      <c r="B324" s="2">
        <v>4</v>
      </c>
      <c r="C324" s="2">
        <v>16</v>
      </c>
      <c r="D324" s="7">
        <v>4</v>
      </c>
      <c r="E324">
        <f t="shared" si="28"/>
        <v>52.166666666666515</v>
      </c>
      <c r="F324">
        <f t="shared" si="29"/>
        <v>0.86944444444444191</v>
      </c>
      <c r="G324">
        <f t="shared" si="30"/>
        <v>20.974816166835058</v>
      </c>
      <c r="H324">
        <f t="shared" si="31"/>
        <v>8.2985729998951694</v>
      </c>
      <c r="I324">
        <f t="shared" si="32"/>
        <v>67.352104787541023</v>
      </c>
      <c r="J324">
        <f t="shared" si="34"/>
        <v>31.142035179151577</v>
      </c>
      <c r="L324">
        <f t="shared" si="33"/>
        <v>0.31142035179151578</v>
      </c>
    </row>
    <row r="325" spans="1:12" x14ac:dyDescent="0.2">
      <c r="A325" s="2"/>
      <c r="B325" s="2">
        <v>4</v>
      </c>
      <c r="C325" s="2">
        <v>16</v>
      </c>
      <c r="D325" s="7">
        <v>4</v>
      </c>
      <c r="E325">
        <f t="shared" si="28"/>
        <v>52.333333333333179</v>
      </c>
      <c r="F325">
        <f t="shared" si="29"/>
        <v>0.87222222222221968</v>
      </c>
      <c r="G325">
        <f t="shared" si="30"/>
        <v>20.617297683947221</v>
      </c>
      <c r="H325">
        <f t="shared" si="31"/>
        <v>8.2985729998951694</v>
      </c>
      <c r="I325">
        <f t="shared" si="32"/>
        <v>67.352104787541023</v>
      </c>
      <c r="J325">
        <f t="shared" si="34"/>
        <v>30.611215119384163</v>
      </c>
      <c r="L325">
        <f t="shared" si="33"/>
        <v>0.30611215119384161</v>
      </c>
    </row>
    <row r="326" spans="1:12" x14ac:dyDescent="0.2">
      <c r="A326" s="2"/>
      <c r="B326" s="2">
        <v>4</v>
      </c>
      <c r="C326" s="2">
        <v>16</v>
      </c>
      <c r="D326" s="7">
        <v>4</v>
      </c>
      <c r="E326">
        <f t="shared" si="28"/>
        <v>52.499999999999844</v>
      </c>
      <c r="F326">
        <f t="shared" si="29"/>
        <v>0.87499999999999745</v>
      </c>
      <c r="G326">
        <f t="shared" si="30"/>
        <v>20.269959311794647</v>
      </c>
      <c r="H326">
        <f t="shared" si="31"/>
        <v>8.2985729998951694</v>
      </c>
      <c r="I326">
        <f t="shared" si="32"/>
        <v>67.352104787541023</v>
      </c>
      <c r="J326">
        <f t="shared" si="34"/>
        <v>30.095509822202676</v>
      </c>
      <c r="L326">
        <f t="shared" si="33"/>
        <v>0.30095509822202676</v>
      </c>
    </row>
    <row r="327" spans="1:12" x14ac:dyDescent="0.2">
      <c r="A327" s="2"/>
      <c r="B327" s="2">
        <v>4</v>
      </c>
      <c r="C327" s="2">
        <v>16</v>
      </c>
      <c r="D327" s="7">
        <v>4</v>
      </c>
      <c r="E327">
        <f t="shared" si="28"/>
        <v>52.666666666666515</v>
      </c>
      <c r="F327">
        <f t="shared" si="29"/>
        <v>0.87777777777777521</v>
      </c>
      <c r="G327">
        <f t="shared" si="30"/>
        <v>19.932511178218157</v>
      </c>
      <c r="H327">
        <f t="shared" si="31"/>
        <v>8.2985729998951694</v>
      </c>
      <c r="I327">
        <f t="shared" si="32"/>
        <v>67.352104787541023</v>
      </c>
      <c r="J327">
        <f t="shared" si="34"/>
        <v>29.594488904384363</v>
      </c>
      <c r="L327">
        <f t="shared" si="33"/>
        <v>0.29594488904384364</v>
      </c>
    </row>
    <row r="328" spans="1:12" x14ac:dyDescent="0.2">
      <c r="A328" s="2"/>
      <c r="B328" s="2">
        <v>4</v>
      </c>
      <c r="C328" s="2">
        <v>16</v>
      </c>
      <c r="D328" s="7">
        <v>4</v>
      </c>
      <c r="E328">
        <f t="shared" si="28"/>
        <v>52.833333333333179</v>
      </c>
      <c r="F328">
        <f t="shared" si="29"/>
        <v>0.88055555555555298</v>
      </c>
      <c r="G328">
        <f t="shared" si="30"/>
        <v>19.604671664983389</v>
      </c>
      <c r="H328">
        <f t="shared" si="31"/>
        <v>8.2985729998951694</v>
      </c>
      <c r="I328">
        <f t="shared" si="32"/>
        <v>67.352104787541023</v>
      </c>
      <c r="J328">
        <f t="shared" si="34"/>
        <v>29.107734237594187</v>
      </c>
      <c r="L328">
        <f t="shared" si="33"/>
        <v>0.29107734237594185</v>
      </c>
    </row>
    <row r="329" spans="1:12" x14ac:dyDescent="0.2">
      <c r="A329" s="2"/>
      <c r="B329" s="2">
        <v>4</v>
      </c>
      <c r="C329" s="2">
        <v>16</v>
      </c>
      <c r="D329" s="7">
        <v>4</v>
      </c>
      <c r="E329">
        <f t="shared" si="28"/>
        <v>52.999999999999844</v>
      </c>
      <c r="F329">
        <f t="shared" si="29"/>
        <v>0.88333333333333075</v>
      </c>
      <c r="G329">
        <f t="shared" si="30"/>
        <v>19.286167172755555</v>
      </c>
      <c r="H329">
        <f t="shared" si="31"/>
        <v>8.2985729998951694</v>
      </c>
      <c r="I329">
        <f t="shared" si="32"/>
        <v>67.352104787541023</v>
      </c>
      <c r="J329">
        <f t="shared" si="34"/>
        <v>28.634839599434702</v>
      </c>
      <c r="L329">
        <f t="shared" si="33"/>
        <v>0.28634839599434703</v>
      </c>
    </row>
    <row r="330" spans="1:12" x14ac:dyDescent="0.2">
      <c r="A330" s="2"/>
      <c r="B330" s="2">
        <v>4</v>
      </c>
      <c r="C330" s="2">
        <v>16</v>
      </c>
      <c r="D330" s="7">
        <v>4</v>
      </c>
      <c r="E330">
        <f t="shared" si="28"/>
        <v>53.166666666666508</v>
      </c>
      <c r="F330">
        <f t="shared" si="29"/>
        <v>0.88611111111110852</v>
      </c>
      <c r="G330">
        <f t="shared" si="30"/>
        <v>18.976731892766395</v>
      </c>
      <c r="H330">
        <f t="shared" si="31"/>
        <v>8.2985729998951694</v>
      </c>
      <c r="I330">
        <f t="shared" si="32"/>
        <v>67.352104787541023</v>
      </c>
      <c r="J330">
        <f t="shared" si="34"/>
        <v>28.175410334432136</v>
      </c>
      <c r="L330">
        <f t="shared" si="33"/>
        <v>0.28175410334432138</v>
      </c>
    </row>
    <row r="331" spans="1:12" x14ac:dyDescent="0.2">
      <c r="A331" s="2"/>
      <c r="B331" s="2">
        <v>4</v>
      </c>
      <c r="C331" s="2">
        <v>16</v>
      </c>
      <c r="D331" s="7">
        <v>4</v>
      </c>
      <c r="E331">
        <f t="shared" si="28"/>
        <v>53.333333333333179</v>
      </c>
      <c r="F331">
        <f t="shared" si="29"/>
        <v>0.88888888888888629</v>
      </c>
      <c r="G331">
        <f t="shared" si="30"/>
        <v>18.676107584982766</v>
      </c>
      <c r="H331">
        <f t="shared" si="31"/>
        <v>8.2985729998951694</v>
      </c>
      <c r="I331">
        <f t="shared" si="32"/>
        <v>67.352104787541023</v>
      </c>
      <c r="J331">
        <f t="shared" si="34"/>
        <v>27.729063024675547</v>
      </c>
      <c r="L331">
        <f t="shared" si="33"/>
        <v>0.27729063024675549</v>
      </c>
    </row>
    <row r="332" spans="1:12" x14ac:dyDescent="0.2">
      <c r="A332" s="2"/>
      <c r="B332" s="2">
        <v>4</v>
      </c>
      <c r="C332" s="2">
        <v>16</v>
      </c>
      <c r="D332" s="7">
        <v>4</v>
      </c>
      <c r="E332">
        <f t="shared" ref="E332:E395" si="35">F332*60</f>
        <v>53.499999999999844</v>
      </c>
      <c r="F332">
        <f t="shared" ref="F332:F395" si="36">Tsamp+F331</f>
        <v>0.89166666666666405</v>
      </c>
      <c r="G332">
        <f t="shared" ref="G332:G395" si="37">Tsamp*$D332*G$3/G$5+G$8*G331</f>
        <v>18.384043362591729</v>
      </c>
      <c r="H332">
        <f t="shared" ref="H332:H395" si="38">$D332*$G$3/$G$6</f>
        <v>8.2985729998951694</v>
      </c>
      <c r="I332">
        <f t="shared" ref="I332:I395" si="39">Tsamp*32*$G$3/($G$5*(1-$G$8))</f>
        <v>67.352104787541023</v>
      </c>
      <c r="J332">
        <f t="shared" si="34"/>
        <v>27.295425169834424</v>
      </c>
      <c r="L332">
        <f t="shared" ref="L332:L395" si="40">$J332/100</f>
        <v>0.27295425169834425</v>
      </c>
    </row>
    <row r="333" spans="1:12" x14ac:dyDescent="0.2">
      <c r="A333" s="2"/>
      <c r="B333" s="2">
        <v>4</v>
      </c>
      <c r="C333" s="2">
        <v>16</v>
      </c>
      <c r="D333" s="7">
        <v>4</v>
      </c>
      <c r="E333">
        <f t="shared" si="35"/>
        <v>53.666666666666508</v>
      </c>
      <c r="F333">
        <f t="shared" si="36"/>
        <v>0.89444444444444182</v>
      </c>
      <c r="G333">
        <f t="shared" si="37"/>
        <v>18.100295482622304</v>
      </c>
      <c r="H333">
        <f t="shared" si="38"/>
        <v>8.2985729998951694</v>
      </c>
      <c r="I333">
        <f t="shared" si="39"/>
        <v>67.352104787541023</v>
      </c>
      <c r="J333">
        <f t="shared" ref="J333:J396" si="41">$G333/$I333*100</f>
        <v>26.87413487628756</v>
      </c>
      <c r="L333">
        <f t="shared" si="40"/>
        <v>0.26874134876287559</v>
      </c>
    </row>
    <row r="334" spans="1:12" x14ac:dyDescent="0.2">
      <c r="A334" s="2"/>
      <c r="B334" s="2">
        <v>4</v>
      </c>
      <c r="C334" s="2">
        <v>16</v>
      </c>
      <c r="D334" s="7">
        <v>4</v>
      </c>
      <c r="E334">
        <f t="shared" si="35"/>
        <v>53.833333333333172</v>
      </c>
      <c r="F334">
        <f t="shared" si="36"/>
        <v>0.89722222222221959</v>
      </c>
      <c r="G334">
        <f t="shared" si="37"/>
        <v>17.824627142529117</v>
      </c>
      <c r="H334">
        <f t="shared" si="38"/>
        <v>8.2985729998951694</v>
      </c>
      <c r="I334">
        <f t="shared" si="39"/>
        <v>67.352104787541023</v>
      </c>
      <c r="J334">
        <f t="shared" si="41"/>
        <v>26.464840555103731</v>
      </c>
      <c r="L334">
        <f t="shared" si="40"/>
        <v>0.2646484055510373</v>
      </c>
    </row>
    <row r="335" spans="1:12" x14ac:dyDescent="0.2">
      <c r="A335" s="2"/>
      <c r="B335" s="2">
        <v>4</v>
      </c>
      <c r="C335" s="2">
        <v>16</v>
      </c>
      <c r="D335" s="7">
        <v>4</v>
      </c>
      <c r="E335">
        <f t="shared" si="35"/>
        <v>53.999999999999844</v>
      </c>
      <c r="F335">
        <f t="shared" si="36"/>
        <v>0.89999999999999736</v>
      </c>
      <c r="G335">
        <f t="shared" si="37"/>
        <v>17.556808282568223</v>
      </c>
      <c r="H335">
        <f t="shared" si="38"/>
        <v>8.2985729998951694</v>
      </c>
      <c r="I335">
        <f t="shared" si="39"/>
        <v>67.352104787541023</v>
      </c>
      <c r="J335">
        <f t="shared" si="41"/>
        <v>26.067200628622267</v>
      </c>
      <c r="L335">
        <f t="shared" si="40"/>
        <v>0.26067200628622267</v>
      </c>
    </row>
    <row r="336" spans="1:12" x14ac:dyDescent="0.2">
      <c r="A336" s="2"/>
      <c r="B336" s="2">
        <v>4</v>
      </c>
      <c r="C336" s="2">
        <v>16</v>
      </c>
      <c r="D336" s="7">
        <v>4</v>
      </c>
      <c r="E336">
        <f t="shared" si="35"/>
        <v>54.166666666666508</v>
      </c>
      <c r="F336">
        <f t="shared" si="36"/>
        <v>0.90277777777777513</v>
      </c>
      <c r="G336">
        <f t="shared" si="37"/>
        <v>17.296615393800124</v>
      </c>
      <c r="H336">
        <f t="shared" si="38"/>
        <v>8.2985729998951694</v>
      </c>
      <c r="I336">
        <f t="shared" si="39"/>
        <v>67.352104787541023</v>
      </c>
      <c r="J336">
        <f t="shared" si="41"/>
        <v>25.680883245388493</v>
      </c>
      <c r="L336">
        <f t="shared" si="40"/>
        <v>0.25680883245388492</v>
      </c>
    </row>
    <row r="337" spans="1:12" x14ac:dyDescent="0.2">
      <c r="A337" s="2"/>
      <c r="B337" s="2">
        <v>4</v>
      </c>
      <c r="C337" s="2">
        <v>16</v>
      </c>
      <c r="D337" s="7">
        <v>4</v>
      </c>
      <c r="E337">
        <f t="shared" si="35"/>
        <v>54.333333333333172</v>
      </c>
      <c r="F337">
        <f t="shared" si="36"/>
        <v>0.90555555555555289</v>
      </c>
      <c r="G337">
        <f t="shared" si="37"/>
        <v>17.043831331559797</v>
      </c>
      <c r="H337">
        <f t="shared" si="38"/>
        <v>8.2985729998951694</v>
      </c>
      <c r="I337">
        <f t="shared" si="39"/>
        <v>67.352104787541023</v>
      </c>
      <c r="J337">
        <f t="shared" si="41"/>
        <v>25.305566003206202</v>
      </c>
      <c r="L337">
        <f t="shared" si="40"/>
        <v>0.25305566003206204</v>
      </c>
    </row>
    <row r="338" spans="1:12" x14ac:dyDescent="0.2">
      <c r="A338" s="2"/>
      <c r="B338" s="2">
        <v>4</v>
      </c>
      <c r="C338" s="2">
        <v>16</v>
      </c>
      <c r="D338" s="7">
        <v>4</v>
      </c>
      <c r="E338">
        <f t="shared" si="35"/>
        <v>54.499999999999837</v>
      </c>
      <c r="F338">
        <f t="shared" si="36"/>
        <v>0.90833333333333066</v>
      </c>
      <c r="G338">
        <f t="shared" si="37"/>
        <v>16.798245134238034</v>
      </c>
      <c r="H338">
        <f t="shared" si="38"/>
        <v>8.2985729998951694</v>
      </c>
      <c r="I338">
        <f t="shared" si="39"/>
        <v>67.352104787541023</v>
      </c>
      <c r="J338">
        <f t="shared" si="41"/>
        <v>24.940935680076056</v>
      </c>
      <c r="L338">
        <f t="shared" si="40"/>
        <v>0.24940935680076057</v>
      </c>
    </row>
    <row r="339" spans="1:12" x14ac:dyDescent="0.2">
      <c r="A339" s="2"/>
      <c r="B339" s="2">
        <v>4</v>
      </c>
      <c r="C339" s="2">
        <v>16</v>
      </c>
      <c r="D339" s="7">
        <v>4</v>
      </c>
      <c r="E339">
        <f t="shared" si="35"/>
        <v>54.666666666666508</v>
      </c>
      <c r="F339">
        <f t="shared" si="36"/>
        <v>0.91111111111110843</v>
      </c>
      <c r="G339">
        <f t="shared" si="37"/>
        <v>16.559651847222877</v>
      </c>
      <c r="H339">
        <f t="shared" si="38"/>
        <v>8.2985729998951694</v>
      </c>
      <c r="I339">
        <f t="shared" si="39"/>
        <v>67.352104787541023</v>
      </c>
      <c r="J339">
        <f t="shared" si="41"/>
        <v>24.58668797279536</v>
      </c>
      <c r="L339">
        <f t="shared" si="40"/>
        <v>0.2458668797279536</v>
      </c>
    </row>
    <row r="340" spans="1:12" x14ac:dyDescent="0.2">
      <c r="A340" s="2"/>
      <c r="B340" s="2">
        <v>4</v>
      </c>
      <c r="C340" s="2">
        <v>16</v>
      </c>
      <c r="D340" s="7">
        <v>4</v>
      </c>
      <c r="E340">
        <f t="shared" si="35"/>
        <v>54.833333333333172</v>
      </c>
      <c r="F340">
        <f t="shared" si="36"/>
        <v>0.9138888888888862</v>
      </c>
      <c r="G340">
        <f t="shared" si="37"/>
        <v>16.327852351854201</v>
      </c>
      <c r="H340">
        <f t="shared" si="38"/>
        <v>8.2985729998951694</v>
      </c>
      <c r="I340">
        <f t="shared" si="39"/>
        <v>67.352104787541023</v>
      </c>
      <c r="J340">
        <f t="shared" si="41"/>
        <v>24.242527243000982</v>
      </c>
      <c r="L340">
        <f t="shared" si="40"/>
        <v>0.24242527243000983</v>
      </c>
    </row>
    <row r="341" spans="1:12" x14ac:dyDescent="0.2">
      <c r="A341" s="2"/>
      <c r="B341" s="2">
        <v>4</v>
      </c>
      <c r="C341" s="2">
        <v>16</v>
      </c>
      <c r="D341" s="7">
        <v>4</v>
      </c>
      <c r="E341">
        <f t="shared" si="35"/>
        <v>54.999999999999837</v>
      </c>
      <c r="F341">
        <f t="shared" si="36"/>
        <v>0.91666666666666397</v>
      </c>
      <c r="G341">
        <f t="shared" si="37"/>
        <v>16.102653199248703</v>
      </c>
      <c r="H341">
        <f t="shared" si="38"/>
        <v>8.2985729998951694</v>
      </c>
      <c r="I341">
        <f t="shared" si="39"/>
        <v>67.352104787541023</v>
      </c>
      <c r="J341">
        <f t="shared" si="41"/>
        <v>23.908166270443587</v>
      </c>
      <c r="L341">
        <f t="shared" si="40"/>
        <v>0.23908166270443587</v>
      </c>
    </row>
    <row r="342" spans="1:12" x14ac:dyDescent="0.2">
      <c r="A342" s="2"/>
      <c r="B342" s="2">
        <v>4</v>
      </c>
      <c r="C342" s="2">
        <v>16</v>
      </c>
      <c r="D342" s="7">
        <v>4</v>
      </c>
      <c r="E342">
        <f t="shared" si="35"/>
        <v>55.166666666666501</v>
      </c>
      <c r="F342">
        <f t="shared" si="36"/>
        <v>0.91944444444444173</v>
      </c>
      <c r="G342">
        <f t="shared" si="37"/>
        <v>15.883866448856635</v>
      </c>
      <c r="H342">
        <f t="shared" si="38"/>
        <v>8.2985729998951694</v>
      </c>
      <c r="I342">
        <f t="shared" si="39"/>
        <v>67.352104787541023</v>
      </c>
      <c r="J342">
        <f t="shared" si="41"/>
        <v>23.583326013287227</v>
      </c>
      <c r="L342">
        <f t="shared" si="40"/>
        <v>0.23583326013287226</v>
      </c>
    </row>
    <row r="343" spans="1:12" x14ac:dyDescent="0.2">
      <c r="A343" s="2"/>
      <c r="B343" s="2">
        <v>2</v>
      </c>
      <c r="C343" s="2">
        <v>16</v>
      </c>
      <c r="D343" s="7">
        <v>2</v>
      </c>
      <c r="E343">
        <f t="shared" si="35"/>
        <v>55.333333333333172</v>
      </c>
      <c r="F343">
        <f t="shared" si="36"/>
        <v>0.9222222222222195</v>
      </c>
      <c r="G343">
        <f t="shared" si="37"/>
        <v>15.55144649791688</v>
      </c>
      <c r="H343">
        <f t="shared" si="38"/>
        <v>4.1492864999475847</v>
      </c>
      <c r="I343">
        <f t="shared" si="39"/>
        <v>67.352104787541023</v>
      </c>
      <c r="J343">
        <f t="shared" si="41"/>
        <v>23.089770612177851</v>
      </c>
      <c r="L343">
        <f t="shared" si="40"/>
        <v>0.23089770612177851</v>
      </c>
    </row>
    <row r="344" spans="1:12" x14ac:dyDescent="0.2">
      <c r="A344" s="2"/>
      <c r="B344" s="2">
        <v>2</v>
      </c>
      <c r="C344" s="2">
        <v>16</v>
      </c>
      <c r="D344" s="7">
        <v>2</v>
      </c>
      <c r="E344">
        <f t="shared" si="35"/>
        <v>55.499999999999837</v>
      </c>
      <c r="F344">
        <f t="shared" si="36"/>
        <v>0.92499999999999727</v>
      </c>
      <c r="G344">
        <f t="shared" si="37"/>
        <v>15.228491993025798</v>
      </c>
      <c r="H344">
        <f t="shared" si="38"/>
        <v>4.1492864999475847</v>
      </c>
      <c r="I344">
        <f t="shared" si="39"/>
        <v>67.352104787541023</v>
      </c>
      <c r="J344">
        <f t="shared" si="41"/>
        <v>22.61026888627066</v>
      </c>
      <c r="L344">
        <f t="shared" si="40"/>
        <v>0.2261026888627066</v>
      </c>
    </row>
    <row r="345" spans="1:12" x14ac:dyDescent="0.2">
      <c r="A345" s="2"/>
      <c r="B345" s="2">
        <v>2</v>
      </c>
      <c r="C345" s="2">
        <v>16</v>
      </c>
      <c r="D345" s="7">
        <v>2</v>
      </c>
      <c r="E345">
        <f t="shared" si="35"/>
        <v>55.666666666666501</v>
      </c>
      <c r="F345">
        <f t="shared" si="36"/>
        <v>0.92777777777777504</v>
      </c>
      <c r="G345">
        <f t="shared" si="37"/>
        <v>14.914733411645265</v>
      </c>
      <c r="H345">
        <f t="shared" si="38"/>
        <v>4.1492864999475847</v>
      </c>
      <c r="I345">
        <f t="shared" si="39"/>
        <v>67.352104787541023</v>
      </c>
      <c r="J345">
        <f t="shared" si="41"/>
        <v>22.144420666129257</v>
      </c>
      <c r="L345">
        <f t="shared" si="40"/>
        <v>0.22144420666129258</v>
      </c>
    </row>
    <row r="346" spans="1:12" x14ac:dyDescent="0.2">
      <c r="A346" s="2"/>
      <c r="B346" s="2">
        <v>2</v>
      </c>
      <c r="C346" s="2">
        <v>16</v>
      </c>
      <c r="D346" s="7">
        <v>2</v>
      </c>
      <c r="E346">
        <f t="shared" si="35"/>
        <v>55.833333333333165</v>
      </c>
      <c r="F346">
        <f t="shared" si="36"/>
        <v>0.9305555555555528</v>
      </c>
      <c r="G346">
        <f t="shared" si="37"/>
        <v>14.609908905719498</v>
      </c>
      <c r="H346">
        <f t="shared" si="38"/>
        <v>4.1492864999475847</v>
      </c>
      <c r="I346">
        <f t="shared" si="39"/>
        <v>67.352104787541023</v>
      </c>
      <c r="J346">
        <f t="shared" si="41"/>
        <v>21.691837176886683</v>
      </c>
      <c r="L346">
        <f t="shared" si="40"/>
        <v>0.21691837176886683</v>
      </c>
    </row>
    <row r="347" spans="1:12" x14ac:dyDescent="0.2">
      <c r="A347" s="2"/>
      <c r="B347" s="2">
        <v>2</v>
      </c>
      <c r="C347" s="2">
        <v>16</v>
      </c>
      <c r="D347" s="7">
        <v>2</v>
      </c>
      <c r="E347">
        <f t="shared" si="35"/>
        <v>55.999999999999837</v>
      </c>
      <c r="F347">
        <f t="shared" si="36"/>
        <v>0.93333333333333057</v>
      </c>
      <c r="G347">
        <f t="shared" si="37"/>
        <v>14.313764083149069</v>
      </c>
      <c r="H347">
        <f t="shared" si="38"/>
        <v>4.1492864999475847</v>
      </c>
      <c r="I347">
        <f t="shared" si="39"/>
        <v>67.352104787541023</v>
      </c>
      <c r="J347">
        <f t="shared" si="41"/>
        <v>21.252140713792315</v>
      </c>
      <c r="L347">
        <f t="shared" si="40"/>
        <v>0.21252140713792314</v>
      </c>
    </row>
    <row r="348" spans="1:12" x14ac:dyDescent="0.2">
      <c r="A348" s="2"/>
      <c r="B348" s="2">
        <v>2</v>
      </c>
      <c r="C348" s="2">
        <v>16</v>
      </c>
      <c r="D348" s="7">
        <v>2</v>
      </c>
      <c r="E348">
        <f t="shared" si="35"/>
        <v>56.166666666666501</v>
      </c>
      <c r="F348">
        <f t="shared" si="36"/>
        <v>0.93611111111110834</v>
      </c>
      <c r="G348">
        <f t="shared" si="37"/>
        <v>14.026051795487298</v>
      </c>
      <c r="H348">
        <f t="shared" si="38"/>
        <v>4.1492864999475847</v>
      </c>
      <c r="I348">
        <f t="shared" si="39"/>
        <v>67.352104787541023</v>
      </c>
      <c r="J348">
        <f t="shared" si="41"/>
        <v>20.824964326997357</v>
      </c>
      <c r="L348">
        <f t="shared" si="40"/>
        <v>0.20824964326997356</v>
      </c>
    </row>
    <row r="349" spans="1:12" x14ac:dyDescent="0.2">
      <c r="A349" s="2"/>
      <c r="B349" s="2">
        <v>2</v>
      </c>
      <c r="C349" s="2">
        <v>16</v>
      </c>
      <c r="D349" s="7">
        <v>2</v>
      </c>
      <c r="E349">
        <f t="shared" si="35"/>
        <v>56.333333333333165</v>
      </c>
      <c r="F349">
        <f t="shared" si="36"/>
        <v>0.93888888888888611</v>
      </c>
      <c r="G349">
        <f t="shared" si="37"/>
        <v>13.746531931681869</v>
      </c>
      <c r="H349">
        <f t="shared" si="38"/>
        <v>4.1492864999475847</v>
      </c>
      <c r="I349">
        <f t="shared" si="39"/>
        <v>67.352104787541023</v>
      </c>
      <c r="J349">
        <f t="shared" si="41"/>
        <v>20.409951515315878</v>
      </c>
      <c r="L349">
        <f t="shared" si="40"/>
        <v>0.20409951515315877</v>
      </c>
    </row>
    <row r="350" spans="1:12" x14ac:dyDescent="0.2">
      <c r="A350" s="2"/>
      <c r="B350" s="2">
        <v>2</v>
      </c>
      <c r="C350" s="2">
        <v>16</v>
      </c>
      <c r="D350" s="7">
        <v>2</v>
      </c>
      <c r="E350">
        <f t="shared" si="35"/>
        <v>56.499999999999829</v>
      </c>
      <c r="F350">
        <f t="shared" si="36"/>
        <v>0.94166666666666388</v>
      </c>
      <c r="G350">
        <f t="shared" si="37"/>
        <v>13.474971217689509</v>
      </c>
      <c r="H350">
        <f t="shared" si="38"/>
        <v>4.1492864999475847</v>
      </c>
      <c r="I350">
        <f t="shared" si="39"/>
        <v>67.352104787541023</v>
      </c>
      <c r="J350">
        <f t="shared" si="41"/>
        <v>20.006755928705804</v>
      </c>
      <c r="L350">
        <f t="shared" si="40"/>
        <v>0.20006755928705805</v>
      </c>
    </row>
    <row r="351" spans="1:12" x14ac:dyDescent="0.2">
      <c r="A351" s="2"/>
      <c r="B351" s="2">
        <v>2</v>
      </c>
      <c r="C351" s="2">
        <v>16</v>
      </c>
      <c r="D351" s="7">
        <v>2</v>
      </c>
      <c r="E351">
        <f t="shared" si="35"/>
        <v>56.666666666666501</v>
      </c>
      <c r="F351">
        <f t="shared" si="36"/>
        <v>0.94444444444444164</v>
      </c>
      <c r="G351">
        <f t="shared" si="37"/>
        <v>13.211143021796522</v>
      </c>
      <c r="H351">
        <f t="shared" si="38"/>
        <v>4.1492864999475847</v>
      </c>
      <c r="I351">
        <f t="shared" si="39"/>
        <v>67.352104787541023</v>
      </c>
      <c r="J351">
        <f t="shared" si="41"/>
        <v>19.615041079221559</v>
      </c>
      <c r="L351">
        <f t="shared" si="40"/>
        <v>0.1961504107922156</v>
      </c>
    </row>
    <row r="352" spans="1:12" x14ac:dyDescent="0.2">
      <c r="A352" s="2"/>
      <c r="B352" s="2">
        <v>2</v>
      </c>
      <c r="C352" s="2">
        <v>16</v>
      </c>
      <c r="D352" s="7">
        <v>2</v>
      </c>
      <c r="E352">
        <f t="shared" si="35"/>
        <v>56.833333333333165</v>
      </c>
      <c r="F352">
        <f t="shared" si="36"/>
        <v>0.94722222222221941</v>
      </c>
      <c r="G352">
        <f t="shared" si="37"/>
        <v>12.954827165482683</v>
      </c>
      <c r="H352">
        <f t="shared" si="38"/>
        <v>4.1492864999475847</v>
      </c>
      <c r="I352">
        <f t="shared" si="39"/>
        <v>67.352104787541023</v>
      </c>
      <c r="J352">
        <f t="shared" si="41"/>
        <v>19.234480060197175</v>
      </c>
      <c r="L352">
        <f t="shared" si="40"/>
        <v>0.19234480060197176</v>
      </c>
    </row>
    <row r="353" spans="1:12" x14ac:dyDescent="0.2">
      <c r="A353" s="2"/>
      <c r="B353" s="2">
        <v>2</v>
      </c>
      <c r="C353" s="2">
        <v>16</v>
      </c>
      <c r="D353" s="7">
        <v>2</v>
      </c>
      <c r="E353">
        <f t="shared" si="35"/>
        <v>56.999999999999829</v>
      </c>
      <c r="F353">
        <f t="shared" si="36"/>
        <v>0.94999999999999718</v>
      </c>
      <c r="G353">
        <f t="shared" si="37"/>
        <v>12.705809739670682</v>
      </c>
      <c r="H353">
        <f t="shared" si="38"/>
        <v>4.1492864999475847</v>
      </c>
      <c r="I353">
        <f t="shared" si="39"/>
        <v>67.352104787541023</v>
      </c>
      <c r="J353">
        <f t="shared" si="41"/>
        <v>18.864755273425455</v>
      </c>
      <c r="L353">
        <f t="shared" si="40"/>
        <v>0.18864755273425454</v>
      </c>
    </row>
    <row r="354" spans="1:12" x14ac:dyDescent="0.2">
      <c r="A354" s="2"/>
      <c r="B354" s="2">
        <v>2</v>
      </c>
      <c r="C354" s="2">
        <v>16</v>
      </c>
      <c r="D354" s="7">
        <v>2</v>
      </c>
      <c r="E354">
        <f t="shared" si="35"/>
        <v>57.166666666666494</v>
      </c>
      <c r="F354">
        <f t="shared" si="36"/>
        <v>0.95277777777777495</v>
      </c>
      <c r="G354">
        <f t="shared" si="37"/>
        <v>12.463882926207729</v>
      </c>
      <c r="H354">
        <f t="shared" si="38"/>
        <v>4.1492864999475847</v>
      </c>
      <c r="I354">
        <f t="shared" si="39"/>
        <v>67.352104787541023</v>
      </c>
      <c r="J354">
        <f t="shared" si="41"/>
        <v>18.505558164105558</v>
      </c>
      <c r="L354">
        <f t="shared" si="40"/>
        <v>0.18505558164105559</v>
      </c>
    </row>
    <row r="355" spans="1:12" x14ac:dyDescent="0.2">
      <c r="A355" s="2"/>
      <c r="B355" s="2">
        <v>2</v>
      </c>
      <c r="C355" s="2">
        <v>16</v>
      </c>
      <c r="D355" s="7">
        <v>2</v>
      </c>
      <c r="E355">
        <f t="shared" si="35"/>
        <v>57.333333333333165</v>
      </c>
      <c r="F355">
        <f t="shared" si="36"/>
        <v>0.95555555555555272</v>
      </c>
      <c r="G355">
        <f t="shared" si="37"/>
        <v>12.228844824430363</v>
      </c>
      <c r="H355">
        <f t="shared" si="38"/>
        <v>4.1492864999475847</v>
      </c>
      <c r="I355">
        <f t="shared" si="39"/>
        <v>67.352104787541023</v>
      </c>
      <c r="J355">
        <f t="shared" si="41"/>
        <v>18.156588963337768</v>
      </c>
      <c r="L355">
        <f t="shared" si="40"/>
        <v>0.18156588963337769</v>
      </c>
    </row>
    <row r="356" spans="1:12" x14ac:dyDescent="0.2">
      <c r="A356" s="2"/>
      <c r="B356" s="2">
        <v>2</v>
      </c>
      <c r="C356" s="2">
        <v>16</v>
      </c>
      <c r="D356" s="7">
        <v>2</v>
      </c>
      <c r="E356">
        <f t="shared" si="35"/>
        <v>57.499999999999829</v>
      </c>
      <c r="F356">
        <f t="shared" si="36"/>
        <v>0.95833333333333048</v>
      </c>
      <c r="G356">
        <f t="shared" si="37"/>
        <v>12.00049928266772</v>
      </c>
      <c r="H356">
        <f t="shared" si="38"/>
        <v>4.1492864999475847</v>
      </c>
      <c r="I356">
        <f t="shared" si="39"/>
        <v>67.352104787541023</v>
      </c>
      <c r="J356">
        <f t="shared" si="41"/>
        <v>17.817556437950554</v>
      </c>
      <c r="L356">
        <f t="shared" si="40"/>
        <v>0.17817556437950555</v>
      </c>
    </row>
    <row r="357" spans="1:12" x14ac:dyDescent="0.2">
      <c r="A357" s="2"/>
      <c r="B357" s="2">
        <v>2</v>
      </c>
      <c r="C357" s="2">
        <v>16</v>
      </c>
      <c r="D357" s="7">
        <v>2</v>
      </c>
      <c r="E357">
        <f t="shared" si="35"/>
        <v>57.666666666666494</v>
      </c>
      <c r="F357">
        <f t="shared" si="36"/>
        <v>0.96111111111110825</v>
      </c>
      <c r="G357">
        <f t="shared" si="37"/>
        <v>11.778655734542641</v>
      </c>
      <c r="H357">
        <f t="shared" si="38"/>
        <v>4.1492864999475847</v>
      </c>
      <c r="I357">
        <f t="shared" si="39"/>
        <v>67.352104787541023</v>
      </c>
      <c r="J357">
        <f t="shared" si="41"/>
        <v>17.488177647451174</v>
      </c>
      <c r="L357">
        <f t="shared" si="40"/>
        <v>0.17488177647451175</v>
      </c>
    </row>
    <row r="358" spans="1:12" x14ac:dyDescent="0.2">
      <c r="A358" s="2"/>
      <c r="B358" s="2">
        <v>2</v>
      </c>
      <c r="C358" s="2">
        <v>16</v>
      </c>
      <c r="D358" s="7">
        <v>2</v>
      </c>
      <c r="E358">
        <f t="shared" si="35"/>
        <v>57.833333333333158</v>
      </c>
      <c r="F358">
        <f t="shared" si="36"/>
        <v>0.96388888888888602</v>
      </c>
      <c r="G358">
        <f t="shared" si="37"/>
        <v>11.563129039933989</v>
      </c>
      <c r="H358">
        <f t="shared" si="38"/>
        <v>4.1492864999475847</v>
      </c>
      <c r="I358">
        <f t="shared" si="39"/>
        <v>67.352104787541023</v>
      </c>
      <c r="J358">
        <f t="shared" si="41"/>
        <v>17.168177707896916</v>
      </c>
      <c r="L358">
        <f t="shared" si="40"/>
        <v>0.17168177707896917</v>
      </c>
    </row>
    <row r="359" spans="1:12" x14ac:dyDescent="0.2">
      <c r="A359" s="2"/>
      <c r="B359" s="2">
        <v>2</v>
      </c>
      <c r="C359" s="2">
        <v>16</v>
      </c>
      <c r="D359" s="7">
        <v>2</v>
      </c>
      <c r="E359">
        <f t="shared" si="35"/>
        <v>57.999999999999829</v>
      </c>
      <c r="F359">
        <f t="shared" si="36"/>
        <v>0.96666666666666379</v>
      </c>
      <c r="G359">
        <f t="shared" si="37"/>
        <v>11.353739330467473</v>
      </c>
      <c r="H359">
        <f t="shared" si="38"/>
        <v>4.1492864999475847</v>
      </c>
      <c r="I359">
        <f t="shared" si="39"/>
        <v>67.352104787541023</v>
      </c>
      <c r="J359">
        <f t="shared" si="41"/>
        <v>16.857289562489989</v>
      </c>
      <c r="L359">
        <f t="shared" si="40"/>
        <v>0.16857289562489988</v>
      </c>
    </row>
    <row r="360" spans="1:12" x14ac:dyDescent="0.2">
      <c r="A360" s="2"/>
      <c r="B360" s="2">
        <v>2</v>
      </c>
      <c r="C360" s="2">
        <v>16</v>
      </c>
      <c r="D360" s="7">
        <v>2</v>
      </c>
      <c r="E360">
        <f t="shared" si="35"/>
        <v>58.166666666666494</v>
      </c>
      <c r="F360">
        <f t="shared" si="36"/>
        <v>0.96944444444444156</v>
      </c>
      <c r="G360">
        <f t="shared" si="37"/>
        <v>11.15031185940602</v>
      </c>
      <c r="H360">
        <f t="shared" si="38"/>
        <v>4.1492864999475847</v>
      </c>
      <c r="I360">
        <f t="shared" si="39"/>
        <v>67.352104787541023</v>
      </c>
      <c r="J360">
        <f t="shared" si="41"/>
        <v>16.555253758704559</v>
      </c>
      <c r="L360">
        <f t="shared" si="40"/>
        <v>0.16555253758704558</v>
      </c>
    </row>
    <row r="361" spans="1:12" x14ac:dyDescent="0.2">
      <c r="A361" s="2"/>
      <c r="B361" s="2">
        <v>2</v>
      </c>
      <c r="C361" s="2">
        <v>16</v>
      </c>
      <c r="D361" s="7">
        <v>2</v>
      </c>
      <c r="E361">
        <f t="shared" si="35"/>
        <v>58.333333333333158</v>
      </c>
      <c r="F361">
        <f t="shared" si="36"/>
        <v>0.97222222222221932</v>
      </c>
      <c r="G361">
        <f t="shared" si="37"/>
        <v>10.952676855814426</v>
      </c>
      <c r="H361">
        <f t="shared" si="38"/>
        <v>4.1492864999475847</v>
      </c>
      <c r="I361">
        <f t="shared" si="39"/>
        <v>67.352104787541023</v>
      </c>
      <c r="J361">
        <f t="shared" si="41"/>
        <v>16.261818231759971</v>
      </c>
      <c r="L361">
        <f t="shared" si="40"/>
        <v>0.16261818231759972</v>
      </c>
    </row>
    <row r="362" spans="1:12" x14ac:dyDescent="0.2">
      <c r="A362" s="2"/>
      <c r="B362" s="2">
        <v>2</v>
      </c>
      <c r="C362" s="2">
        <v>16</v>
      </c>
      <c r="D362" s="7">
        <v>2</v>
      </c>
      <c r="E362">
        <f t="shared" si="35"/>
        <v>58.499999999999822</v>
      </c>
      <c r="F362">
        <f t="shared" si="36"/>
        <v>0.97499999999999709</v>
      </c>
      <c r="G362">
        <f t="shared" si="37"/>
        <v>10.760669382876564</v>
      </c>
      <c r="H362">
        <f t="shared" si="38"/>
        <v>4.1492864999475847</v>
      </c>
      <c r="I362">
        <f t="shared" si="39"/>
        <v>67.352104787541023</v>
      </c>
      <c r="J362">
        <f t="shared" si="41"/>
        <v>15.976738094259382</v>
      </c>
      <c r="L362">
        <f t="shared" si="40"/>
        <v>0.15976738094259382</v>
      </c>
    </row>
    <row r="363" spans="1:12" x14ac:dyDescent="0.2">
      <c r="A363" s="2"/>
      <c r="B363" s="2">
        <v>2</v>
      </c>
      <c r="C363" s="2">
        <v>16</v>
      </c>
      <c r="D363" s="7">
        <v>2</v>
      </c>
      <c r="E363">
        <f t="shared" si="35"/>
        <v>58.666666666666494</v>
      </c>
      <c r="F363">
        <f t="shared" si="36"/>
        <v>0.97777777777777486</v>
      </c>
      <c r="G363">
        <f t="shared" si="37"/>
        <v>10.574129200246933</v>
      </c>
      <c r="H363">
        <f t="shared" si="38"/>
        <v>4.1492864999475847</v>
      </c>
      <c r="I363">
        <f t="shared" si="39"/>
        <v>67.352104787541023</v>
      </c>
      <c r="J363">
        <f t="shared" si="41"/>
        <v>15.699775431818374</v>
      </c>
      <c r="L363">
        <f t="shared" si="40"/>
        <v>0.15699775431818375</v>
      </c>
    </row>
    <row r="364" spans="1:12" x14ac:dyDescent="0.2">
      <c r="A364" s="2"/>
      <c r="B364" s="2">
        <v>2</v>
      </c>
      <c r="C364" s="2">
        <v>16</v>
      </c>
      <c r="D364" s="7">
        <v>2</v>
      </c>
      <c r="E364">
        <f t="shared" si="35"/>
        <v>58.833333333333158</v>
      </c>
      <c r="F364">
        <f t="shared" si="36"/>
        <v>0.98055555555555263</v>
      </c>
      <c r="G364">
        <f t="shared" si="37"/>
        <v>10.39290063032165</v>
      </c>
      <c r="H364">
        <f t="shared" si="38"/>
        <v>4.1492864999475847</v>
      </c>
      <c r="I364">
        <f t="shared" si="39"/>
        <v>67.352104787541023</v>
      </c>
      <c r="J364">
        <f t="shared" si="41"/>
        <v>15.430699104512852</v>
      </c>
      <c r="L364">
        <f t="shared" si="40"/>
        <v>0.15430699104512852</v>
      </c>
    </row>
    <row r="365" spans="1:12" x14ac:dyDescent="0.2">
      <c r="A365" s="2"/>
      <c r="B365" s="2">
        <v>2</v>
      </c>
      <c r="C365" s="2">
        <v>16</v>
      </c>
      <c r="D365" s="7">
        <v>2</v>
      </c>
      <c r="E365">
        <f t="shared" si="35"/>
        <v>58.999999999999822</v>
      </c>
      <c r="F365">
        <f t="shared" si="36"/>
        <v>0.98333333333333039</v>
      </c>
      <c r="G365">
        <f t="shared" si="37"/>
        <v>10.216832428317295</v>
      </c>
      <c r="H365">
        <f t="shared" si="38"/>
        <v>4.1492864999475847</v>
      </c>
      <c r="I365">
        <f t="shared" si="39"/>
        <v>67.352104787541023</v>
      </c>
      <c r="J365">
        <f t="shared" si="41"/>
        <v>15.169284553980608</v>
      </c>
      <c r="L365">
        <f t="shared" si="40"/>
        <v>0.15169284553980608</v>
      </c>
    </row>
    <row r="366" spans="1:12" x14ac:dyDescent="0.2">
      <c r="A366" s="2"/>
      <c r="B366" s="2">
        <v>2</v>
      </c>
      <c r="C366" s="2">
        <v>16</v>
      </c>
      <c r="D366" s="7">
        <v>2</v>
      </c>
      <c r="E366">
        <f t="shared" si="35"/>
        <v>59.166666666666487</v>
      </c>
      <c r="F366">
        <f t="shared" si="36"/>
        <v>0.98611111111110816</v>
      </c>
      <c r="G366">
        <f t="shared" si="37"/>
        <v>10.045777656049173</v>
      </c>
      <c r="H366">
        <f t="shared" si="38"/>
        <v>4.1492864999475847</v>
      </c>
      <c r="I366">
        <f t="shared" si="39"/>
        <v>67.352104787541023</v>
      </c>
      <c r="J366">
        <f t="shared" si="41"/>
        <v>14.91531361601556</v>
      </c>
      <c r="L366">
        <f t="shared" si="40"/>
        <v>0.1491531361601556</v>
      </c>
    </row>
    <row r="367" spans="1:12" x14ac:dyDescent="0.2">
      <c r="A367" s="2"/>
      <c r="B367" s="2">
        <v>2</v>
      </c>
      <c r="C367" s="2">
        <v>16</v>
      </c>
      <c r="D367" s="7">
        <v>2</v>
      </c>
      <c r="E367">
        <f t="shared" si="35"/>
        <v>59.333333333333158</v>
      </c>
      <c r="F367">
        <f t="shared" si="36"/>
        <v>0.98888888888888593</v>
      </c>
      <c r="G367">
        <f t="shared" si="37"/>
        <v>9.8795935593036699</v>
      </c>
      <c r="H367">
        <f t="shared" si="38"/>
        <v>4.1492864999475847</v>
      </c>
      <c r="I367">
        <f t="shared" si="39"/>
        <v>67.352104787541023</v>
      </c>
      <c r="J367">
        <f t="shared" si="41"/>
        <v>14.668574338498214</v>
      </c>
      <c r="L367">
        <f t="shared" si="40"/>
        <v>0.14668574338498214</v>
      </c>
    </row>
    <row r="368" spans="1:12" x14ac:dyDescent="0.2">
      <c r="A368" s="2"/>
      <c r="B368" s="2">
        <v>2</v>
      </c>
      <c r="C368" s="2">
        <v>16</v>
      </c>
      <c r="D368" s="7">
        <v>2</v>
      </c>
      <c r="E368">
        <f t="shared" si="35"/>
        <v>59.499999999999822</v>
      </c>
      <c r="F368">
        <f t="shared" si="36"/>
        <v>0.9916666666666637</v>
      </c>
      <c r="G368">
        <f t="shared" si="37"/>
        <v>9.718141448702335</v>
      </c>
      <c r="H368">
        <f t="shared" si="38"/>
        <v>4.1492864999475847</v>
      </c>
      <c r="I368">
        <f t="shared" si="39"/>
        <v>67.352104787541023</v>
      </c>
      <c r="J368">
        <f t="shared" si="41"/>
        <v>14.428860804510482</v>
      </c>
      <c r="L368">
        <f t="shared" si="40"/>
        <v>0.14428860804510482</v>
      </c>
    </row>
    <row r="369" spans="1:12" x14ac:dyDescent="0.2">
      <c r="A369" s="2"/>
      <c r="B369" s="2">
        <v>2</v>
      </c>
      <c r="C369" s="2">
        <v>16</v>
      </c>
      <c r="D369" s="7">
        <v>2</v>
      </c>
      <c r="E369">
        <f t="shared" si="35"/>
        <v>59.666666666666487</v>
      </c>
      <c r="F369">
        <f t="shared" si="36"/>
        <v>0.99444444444444147</v>
      </c>
      <c r="G369">
        <f t="shared" si="37"/>
        <v>9.5612865839582977</v>
      </c>
      <c r="H369">
        <f t="shared" si="38"/>
        <v>4.1492864999475847</v>
      </c>
      <c r="I369">
        <f t="shared" si="39"/>
        <v>67.352104787541023</v>
      </c>
      <c r="J369">
        <f t="shared" si="41"/>
        <v>14.195972960487154</v>
      </c>
      <c r="L369">
        <f t="shared" si="40"/>
        <v>0.14195972960487155</v>
      </c>
    </row>
    <row r="370" spans="1:12" x14ac:dyDescent="0.2">
      <c r="A370" s="2"/>
      <c r="B370" s="2">
        <v>2</v>
      </c>
      <c r="C370" s="2">
        <v>16</v>
      </c>
      <c r="D370" s="7">
        <v>2</v>
      </c>
      <c r="E370">
        <f t="shared" si="35"/>
        <v>59.833333333333151</v>
      </c>
      <c r="F370">
        <f t="shared" si="36"/>
        <v>0.99722222222221923</v>
      </c>
      <c r="G370">
        <f t="shared" si="37"/>
        <v>9.4088980614284079</v>
      </c>
      <c r="H370">
        <f t="shared" si="38"/>
        <v>4.1492864999475847</v>
      </c>
      <c r="I370">
        <f t="shared" si="39"/>
        <v>67.352104787541023</v>
      </c>
      <c r="J370">
        <f t="shared" si="41"/>
        <v>13.96971644926068</v>
      </c>
      <c r="L370">
        <f t="shared" si="40"/>
        <v>0.1396971644926068</v>
      </c>
    </row>
    <row r="371" spans="1:12" x14ac:dyDescent="0.2">
      <c r="A371" s="2"/>
      <c r="B371" s="2">
        <v>2</v>
      </c>
      <c r="C371" s="2">
        <v>16</v>
      </c>
      <c r="D371" s="7">
        <v>2</v>
      </c>
      <c r="E371">
        <f t="shared" si="35"/>
        <v>59.999999999999822</v>
      </c>
      <c r="F371">
        <f t="shared" si="36"/>
        <v>0.999999999999997</v>
      </c>
      <c r="G371">
        <f t="shared" si="37"/>
        <v>9.2608487048672448</v>
      </c>
      <c r="H371">
        <f t="shared" si="38"/>
        <v>4.1492864999475847</v>
      </c>
      <c r="I371">
        <f t="shared" si="39"/>
        <v>67.352104787541023</v>
      </c>
      <c r="J371">
        <f t="shared" si="41"/>
        <v>13.749902447859865</v>
      </c>
      <c r="L371">
        <f t="shared" si="40"/>
        <v>0.13749902447859866</v>
      </c>
    </row>
    <row r="372" spans="1:12" x14ac:dyDescent="0.2">
      <c r="A372" s="2"/>
      <c r="B372" s="2">
        <v>2</v>
      </c>
      <c r="C372" s="2">
        <v>32</v>
      </c>
      <c r="D372" s="7">
        <v>2</v>
      </c>
      <c r="E372">
        <f t="shared" si="35"/>
        <v>60.166666666666494</v>
      </c>
      <c r="F372">
        <f t="shared" si="36"/>
        <v>1.0027777777777749</v>
      </c>
      <c r="G372">
        <f t="shared" si="37"/>
        <v>9.1170149592918506</v>
      </c>
      <c r="H372">
        <f t="shared" si="38"/>
        <v>4.1492864999475847</v>
      </c>
      <c r="I372">
        <f t="shared" si="39"/>
        <v>67.352104787541023</v>
      </c>
      <c r="J372">
        <f t="shared" si="41"/>
        <v>13.536347509927174</v>
      </c>
      <c r="L372">
        <f t="shared" si="40"/>
        <v>0.13536347509927174</v>
      </c>
    </row>
    <row r="373" spans="1:12" x14ac:dyDescent="0.2">
      <c r="A373" s="2"/>
      <c r="B373" s="2">
        <v>1</v>
      </c>
      <c r="C373" s="2">
        <v>32</v>
      </c>
      <c r="D373" s="7">
        <v>1</v>
      </c>
      <c r="E373">
        <f t="shared" si="35"/>
        <v>60.333333333333158</v>
      </c>
      <c r="F373">
        <f t="shared" si="36"/>
        <v>1.0055555555555526</v>
      </c>
      <c r="G373">
        <f t="shared" si="37"/>
        <v>8.9173452810192746</v>
      </c>
      <c r="H373">
        <f t="shared" si="38"/>
        <v>2.0746432499737923</v>
      </c>
      <c r="I373">
        <f t="shared" si="39"/>
        <v>67.352104787541023</v>
      </c>
      <c r="J373">
        <f t="shared" si="41"/>
        <v>13.239891031094889</v>
      </c>
      <c r="L373">
        <f t="shared" si="40"/>
        <v>0.13239891031094889</v>
      </c>
    </row>
    <row r="374" spans="1:12" x14ac:dyDescent="0.2">
      <c r="A374" s="2"/>
      <c r="B374" s="2">
        <v>1</v>
      </c>
      <c r="C374" s="2">
        <v>32</v>
      </c>
      <c r="D374" s="7">
        <v>1</v>
      </c>
      <c r="E374">
        <f t="shared" si="35"/>
        <v>60.499999999999822</v>
      </c>
      <c r="F374">
        <f t="shared" si="36"/>
        <v>1.0083333333333304</v>
      </c>
      <c r="G374">
        <f t="shared" si="37"/>
        <v>8.7233610694640298</v>
      </c>
      <c r="H374">
        <f t="shared" si="38"/>
        <v>2.0746432499737923</v>
      </c>
      <c r="I374">
        <f t="shared" si="39"/>
        <v>67.352104787541023</v>
      </c>
      <c r="J374">
        <f t="shared" si="41"/>
        <v>12.951875961384507</v>
      </c>
      <c r="L374">
        <f t="shared" si="40"/>
        <v>0.12951875961384507</v>
      </c>
    </row>
    <row r="375" spans="1:12" x14ac:dyDescent="0.2">
      <c r="A375" s="2"/>
      <c r="B375" s="2">
        <v>1</v>
      </c>
      <c r="C375" s="2">
        <v>32</v>
      </c>
      <c r="D375" s="7">
        <v>1</v>
      </c>
      <c r="E375">
        <f t="shared" si="35"/>
        <v>60.666666666666494</v>
      </c>
      <c r="F375">
        <f t="shared" si="36"/>
        <v>1.0111111111111082</v>
      </c>
      <c r="G375">
        <f t="shared" si="37"/>
        <v>8.5349004345881632</v>
      </c>
      <c r="H375">
        <f t="shared" si="38"/>
        <v>2.0746432499737923</v>
      </c>
      <c r="I375">
        <f t="shared" si="39"/>
        <v>67.352104787541023</v>
      </c>
      <c r="J375">
        <f t="shared" si="41"/>
        <v>12.672061937056156</v>
      </c>
      <c r="L375">
        <f t="shared" si="40"/>
        <v>0.12672061937056156</v>
      </c>
    </row>
    <row r="376" spans="1:12" x14ac:dyDescent="0.2">
      <c r="A376" s="2"/>
      <c r="B376" s="2">
        <v>1</v>
      </c>
      <c r="C376" s="2">
        <v>32</v>
      </c>
      <c r="D376" s="7">
        <v>1</v>
      </c>
      <c r="E376">
        <f t="shared" si="35"/>
        <v>60.833333333333158</v>
      </c>
      <c r="F376">
        <f t="shared" si="36"/>
        <v>1.013888888888886</v>
      </c>
      <c r="G376">
        <f t="shared" si="37"/>
        <v>8.3518060960692786</v>
      </c>
      <c r="H376">
        <f t="shared" si="38"/>
        <v>2.0746432499737923</v>
      </c>
      <c r="I376">
        <f t="shared" si="39"/>
        <v>67.352104787541023</v>
      </c>
      <c r="J376">
        <f t="shared" si="41"/>
        <v>12.400215438574117</v>
      </c>
      <c r="L376">
        <f t="shared" si="40"/>
        <v>0.12400215438574116</v>
      </c>
    </row>
    <row r="377" spans="1:12" x14ac:dyDescent="0.2">
      <c r="A377" s="2"/>
      <c r="B377" s="2">
        <v>1</v>
      </c>
      <c r="C377" s="2">
        <v>32</v>
      </c>
      <c r="D377" s="7">
        <v>1</v>
      </c>
      <c r="E377">
        <f t="shared" si="35"/>
        <v>60.999999999999822</v>
      </c>
      <c r="F377">
        <f t="shared" si="36"/>
        <v>1.0166666666666637</v>
      </c>
      <c r="G377">
        <f t="shared" si="37"/>
        <v>8.1739252520418297</v>
      </c>
      <c r="H377">
        <f t="shared" si="38"/>
        <v>2.0746432499737923</v>
      </c>
      <c r="I377">
        <f t="shared" si="39"/>
        <v>67.352104787541023</v>
      </c>
      <c r="J377">
        <f t="shared" si="41"/>
        <v>12.136109595722486</v>
      </c>
      <c r="L377">
        <f t="shared" si="40"/>
        <v>0.12136109595722486</v>
      </c>
    </row>
    <row r="378" spans="1:12" x14ac:dyDescent="0.2">
      <c r="A378" s="2"/>
      <c r="B378" s="2">
        <v>1</v>
      </c>
      <c r="C378" s="2">
        <v>32</v>
      </c>
      <c r="D378" s="7">
        <v>1</v>
      </c>
      <c r="E378">
        <f t="shared" si="35"/>
        <v>61.166666666666487</v>
      </c>
      <c r="F378">
        <f t="shared" si="36"/>
        <v>1.0194444444444415</v>
      </c>
      <c r="G378">
        <f t="shared" si="37"/>
        <v>8.0011094515759194</v>
      </c>
      <c r="H378">
        <f t="shared" si="38"/>
        <v>2.0746432499737923</v>
      </c>
      <c r="I378">
        <f t="shared" si="39"/>
        <v>67.352104787541023</v>
      </c>
      <c r="J378">
        <f t="shared" si="41"/>
        <v>11.87952399827004</v>
      </c>
      <c r="L378">
        <f t="shared" si="40"/>
        <v>0.1187952399827004</v>
      </c>
    </row>
    <row r="379" spans="1:12" x14ac:dyDescent="0.2">
      <c r="A379" s="2"/>
      <c r="B379" s="2">
        <v>1</v>
      </c>
      <c r="C379" s="2">
        <v>32</v>
      </c>
      <c r="D379" s="7">
        <v>1</v>
      </c>
      <c r="E379">
        <f t="shared" si="35"/>
        <v>61.333333333333158</v>
      </c>
      <c r="F379">
        <f t="shared" si="36"/>
        <v>1.0222222222222193</v>
      </c>
      <c r="G379">
        <f t="shared" si="37"/>
        <v>7.8332144707871789</v>
      </c>
      <c r="H379">
        <f t="shared" si="38"/>
        <v>2.0746432499737923</v>
      </c>
      <c r="I379">
        <f t="shared" si="39"/>
        <v>67.352104787541023</v>
      </c>
      <c r="J379">
        <f t="shared" si="41"/>
        <v>11.630244512026279</v>
      </c>
      <c r="L379">
        <f t="shared" si="40"/>
        <v>0.11630244512026279</v>
      </c>
    </row>
    <row r="380" spans="1:12" x14ac:dyDescent="0.2">
      <c r="A380" s="2"/>
      <c r="B380" s="2">
        <v>1</v>
      </c>
      <c r="C380" s="2">
        <v>32</v>
      </c>
      <c r="D380" s="7">
        <v>1</v>
      </c>
      <c r="E380">
        <f t="shared" si="35"/>
        <v>61.499999999999822</v>
      </c>
      <c r="F380">
        <f t="shared" si="36"/>
        <v>1.024999999999997</v>
      </c>
      <c r="G380">
        <f t="shared" si="37"/>
        <v>7.6701001924743464</v>
      </c>
      <c r="H380">
        <f t="shared" si="38"/>
        <v>2.0746432499737923</v>
      </c>
      <c r="I380">
        <f t="shared" si="39"/>
        <v>67.352104787541023</v>
      </c>
      <c r="J380">
        <f t="shared" si="41"/>
        <v>11.38806310013519</v>
      </c>
      <c r="L380">
        <f t="shared" si="40"/>
        <v>0.1138806310013519</v>
      </c>
    </row>
    <row r="381" spans="1:12" x14ac:dyDescent="0.2">
      <c r="A381" s="2"/>
      <c r="B381" s="2">
        <v>1</v>
      </c>
      <c r="C381" s="2">
        <v>32</v>
      </c>
      <c r="D381" s="7">
        <v>1</v>
      </c>
      <c r="E381">
        <f t="shared" si="35"/>
        <v>61.666666666666487</v>
      </c>
      <c r="F381">
        <f t="shared" si="36"/>
        <v>1.0277777777777748</v>
      </c>
      <c r="G381">
        <f t="shared" si="37"/>
        <v>7.5116304891840828</v>
      </c>
      <c r="H381">
        <f t="shared" si="38"/>
        <v>2.0746432499737923</v>
      </c>
      <c r="I381">
        <f t="shared" si="39"/>
        <v>67.352104787541023</v>
      </c>
      <c r="J381">
        <f t="shared" si="41"/>
        <v>11.152777649457519</v>
      </c>
      <c r="L381">
        <f t="shared" si="40"/>
        <v>0.1115277764945752</v>
      </c>
    </row>
    <row r="382" spans="1:12" x14ac:dyDescent="0.2">
      <c r="A382" s="2"/>
      <c r="B382" s="2">
        <v>1</v>
      </c>
      <c r="C382" s="2">
        <v>32</v>
      </c>
      <c r="D382" s="7">
        <v>1</v>
      </c>
      <c r="E382">
        <f t="shared" si="35"/>
        <v>61.833333333333151</v>
      </c>
      <c r="F382">
        <f t="shared" si="36"/>
        <v>1.0305555555555526</v>
      </c>
      <c r="G382">
        <f t="shared" si="37"/>
        <v>7.3576731096054457</v>
      </c>
      <c r="H382">
        <f t="shared" si="38"/>
        <v>2.0746432499737923</v>
      </c>
      <c r="I382">
        <f t="shared" si="39"/>
        <v>67.352104787541023</v>
      </c>
      <c r="J382">
        <f t="shared" si="41"/>
        <v>10.924191801896722</v>
      </c>
      <c r="L382">
        <f t="shared" si="40"/>
        <v>0.10924191801896722</v>
      </c>
    </row>
    <row r="383" spans="1:12" x14ac:dyDescent="0.2">
      <c r="A383" s="2"/>
      <c r="B383" s="2">
        <v>1</v>
      </c>
      <c r="C383" s="2">
        <v>32</v>
      </c>
      <c r="D383" s="7">
        <v>1</v>
      </c>
      <c r="E383">
        <f t="shared" si="35"/>
        <v>61.999999999999822</v>
      </c>
      <c r="F383">
        <f t="shared" si="36"/>
        <v>1.0333333333333303</v>
      </c>
      <c r="G383">
        <f t="shared" si="37"/>
        <v>7.2080995681992075</v>
      </c>
      <c r="H383">
        <f t="shared" si="38"/>
        <v>2.0746432499737923</v>
      </c>
      <c r="I383">
        <f t="shared" si="39"/>
        <v>67.352104787541023</v>
      </c>
      <c r="J383">
        <f t="shared" si="41"/>
        <v>10.702114790527796</v>
      </c>
      <c r="L383">
        <f t="shared" si="40"/>
        <v>0.10702114790527796</v>
      </c>
    </row>
    <row r="384" spans="1:12" x14ac:dyDescent="0.2">
      <c r="A384" s="2"/>
      <c r="B384" s="2">
        <v>1</v>
      </c>
      <c r="C384" s="2">
        <v>32</v>
      </c>
      <c r="D384" s="7">
        <v>1</v>
      </c>
      <c r="E384">
        <f t="shared" si="35"/>
        <v>62.166666666666487</v>
      </c>
      <c r="F384">
        <f t="shared" si="36"/>
        <v>1.0361111111111081</v>
      </c>
      <c r="G384">
        <f t="shared" si="37"/>
        <v>7.0627850379699071</v>
      </c>
      <c r="H384">
        <f t="shared" si="38"/>
        <v>2.0746432499737923</v>
      </c>
      <c r="I384">
        <f t="shared" si="39"/>
        <v>67.352104787541023</v>
      </c>
      <c r="J384">
        <f t="shared" si="41"/>
        <v>10.486361280392236</v>
      </c>
      <c r="L384">
        <f t="shared" si="40"/>
        <v>0.10486361280392237</v>
      </c>
    </row>
    <row r="385" spans="1:12" x14ac:dyDescent="0.2">
      <c r="A385" s="2"/>
      <c r="B385" s="2">
        <v>1</v>
      </c>
      <c r="C385" s="2">
        <v>32</v>
      </c>
      <c r="D385" s="7">
        <v>1</v>
      </c>
      <c r="E385">
        <f t="shared" si="35"/>
        <v>62.333333333333151</v>
      </c>
      <c r="F385">
        <f t="shared" si="36"/>
        <v>1.0388888888888859</v>
      </c>
      <c r="G385">
        <f t="shared" si="37"/>
        <v>6.9216082462911519</v>
      </c>
      <c r="H385">
        <f t="shared" si="38"/>
        <v>2.0746432499737923</v>
      </c>
      <c r="I385">
        <f t="shared" si="39"/>
        <v>67.352104787541023</v>
      </c>
      <c r="J385">
        <f t="shared" si="41"/>
        <v>10.276751213826254</v>
      </c>
      <c r="L385">
        <f t="shared" si="40"/>
        <v>0.10276751213826253</v>
      </c>
    </row>
    <row r="386" spans="1:12" x14ac:dyDescent="0.2">
      <c r="A386" s="2"/>
      <c r="B386" s="2">
        <v>1</v>
      </c>
      <c r="C386" s="2">
        <v>32</v>
      </c>
      <c r="D386" s="7">
        <v>1</v>
      </c>
      <c r="E386">
        <f t="shared" si="35"/>
        <v>62.499999999999815</v>
      </c>
      <c r="F386">
        <f t="shared" si="36"/>
        <v>1.0416666666666636</v>
      </c>
      <c r="G386">
        <f t="shared" si="37"/>
        <v>6.7844513736972241</v>
      </c>
      <c r="H386">
        <f t="shared" si="38"/>
        <v>2.0746432499737923</v>
      </c>
      <c r="I386">
        <f t="shared" si="39"/>
        <v>67.352104787541023</v>
      </c>
      <c r="J386">
        <f t="shared" si="41"/>
        <v>10.073109660193175</v>
      </c>
      <c r="L386">
        <f t="shared" si="40"/>
        <v>0.10073109660193175</v>
      </c>
    </row>
    <row r="387" spans="1:12" x14ac:dyDescent="0.2">
      <c r="A387" s="2"/>
      <c r="B387" s="2">
        <v>1</v>
      </c>
      <c r="C387" s="2">
        <v>32</v>
      </c>
      <c r="D387" s="7">
        <v>1</v>
      </c>
      <c r="E387">
        <f t="shared" si="35"/>
        <v>62.666666666666487</v>
      </c>
      <c r="F387">
        <f t="shared" si="36"/>
        <v>1.0444444444444414</v>
      </c>
      <c r="G387">
        <f t="shared" si="37"/>
        <v>6.6511999555565335</v>
      </c>
      <c r="H387">
        <f t="shared" si="38"/>
        <v>2.0746432499737923</v>
      </c>
      <c r="I387">
        <f t="shared" si="39"/>
        <v>67.352104787541023</v>
      </c>
      <c r="J387">
        <f t="shared" si="41"/>
        <v>9.8752666698946143</v>
      </c>
      <c r="L387">
        <f t="shared" si="40"/>
        <v>9.875266669894614E-2</v>
      </c>
    </row>
    <row r="388" spans="1:12" x14ac:dyDescent="0.2">
      <c r="A388" s="2"/>
      <c r="B388" s="2">
        <v>1</v>
      </c>
      <c r="C388" s="2">
        <v>32</v>
      </c>
      <c r="D388" s="7">
        <v>1</v>
      </c>
      <c r="E388">
        <f t="shared" si="35"/>
        <v>62.833333333333151</v>
      </c>
      <c r="F388">
        <f t="shared" si="36"/>
        <v>1.0472222222222192</v>
      </c>
      <c r="G388">
        <f t="shared" si="37"/>
        <v>6.5217427865448565</v>
      </c>
      <c r="H388">
        <f t="shared" si="38"/>
        <v>2.0746432499737923</v>
      </c>
      <c r="I388">
        <f t="shared" si="39"/>
        <v>67.352104787541023</v>
      </c>
      <c r="J388">
        <f t="shared" si="41"/>
        <v>9.6830571325385897</v>
      </c>
      <c r="L388">
        <f t="shared" si="40"/>
        <v>9.6830571325385903E-2</v>
      </c>
    </row>
    <row r="389" spans="1:12" x14ac:dyDescent="0.2">
      <c r="A389" s="2"/>
      <c r="B389" s="2">
        <v>1</v>
      </c>
      <c r="C389" s="2">
        <v>32</v>
      </c>
      <c r="D389" s="7">
        <v>1</v>
      </c>
      <c r="E389">
        <f t="shared" si="35"/>
        <v>62.999999999999815</v>
      </c>
      <c r="F389">
        <f t="shared" si="36"/>
        <v>1.0499999999999969</v>
      </c>
      <c r="G389">
        <f t="shared" si="37"/>
        <v>6.395971827838637</v>
      </c>
      <c r="H389">
        <f t="shared" si="38"/>
        <v>2.0746432499737923</v>
      </c>
      <c r="I389">
        <f t="shared" si="39"/>
        <v>67.352104787541023</v>
      </c>
      <c r="J389">
        <f t="shared" si="41"/>
        <v>9.4963206391462034</v>
      </c>
      <c r="L389">
        <f t="shared" si="40"/>
        <v>9.4963206391462038E-2</v>
      </c>
    </row>
    <row r="390" spans="1:12" x14ac:dyDescent="0.2">
      <c r="A390" s="2"/>
      <c r="B390" s="2">
        <v>1</v>
      </c>
      <c r="C390" s="2">
        <v>32</v>
      </c>
      <c r="D390" s="7">
        <v>1</v>
      </c>
      <c r="E390">
        <f t="shared" si="35"/>
        <v>63.16666666666648</v>
      </c>
      <c r="F390">
        <f t="shared" si="36"/>
        <v>1.0527777777777747</v>
      </c>
      <c r="G390">
        <f t="shared" si="37"/>
        <v>6.273782116950902</v>
      </c>
      <c r="H390">
        <f t="shared" si="38"/>
        <v>2.0746432499737923</v>
      </c>
      <c r="I390">
        <f t="shared" si="39"/>
        <v>67.352104787541023</v>
      </c>
      <c r="J390">
        <f t="shared" si="41"/>
        <v>9.3149013482819072</v>
      </c>
      <c r="L390">
        <f t="shared" si="40"/>
        <v>9.3149013482819065E-2</v>
      </c>
    </row>
    <row r="391" spans="1:12" x14ac:dyDescent="0.2">
      <c r="A391" s="2"/>
      <c r="B391" s="2">
        <v>1</v>
      </c>
      <c r="C391" s="2">
        <v>32</v>
      </c>
      <c r="D391" s="7">
        <v>1</v>
      </c>
      <c r="E391">
        <f t="shared" si="35"/>
        <v>63.333333333333151</v>
      </c>
      <c r="F391">
        <f t="shared" si="36"/>
        <v>1.0555555555555525</v>
      </c>
      <c r="G391">
        <f t="shared" si="37"/>
        <v>6.1550716801345366</v>
      </c>
      <c r="H391">
        <f t="shared" si="38"/>
        <v>2.0746432499737923</v>
      </c>
      <c r="I391">
        <f t="shared" si="39"/>
        <v>67.352104787541023</v>
      </c>
      <c r="J391">
        <f t="shared" si="41"/>
        <v>9.1386478559956128</v>
      </c>
      <c r="L391">
        <f t="shared" si="40"/>
        <v>9.138647855995613E-2</v>
      </c>
    </row>
    <row r="392" spans="1:12" x14ac:dyDescent="0.2">
      <c r="A392" s="2"/>
      <c r="B392" s="2">
        <v>1</v>
      </c>
      <c r="C392" s="2">
        <v>32</v>
      </c>
      <c r="D392" s="7">
        <v>1</v>
      </c>
      <c r="E392">
        <f t="shared" si="35"/>
        <v>63.499999999999815</v>
      </c>
      <c r="F392">
        <f t="shared" si="36"/>
        <v>1.0583333333333302</v>
      </c>
      <c r="G392">
        <f t="shared" si="37"/>
        <v>6.0397414472798268</v>
      </c>
      <c r="H392">
        <f t="shared" si="38"/>
        <v>2.0746432499737923</v>
      </c>
      <c r="I392">
        <f t="shared" si="39"/>
        <v>67.352104787541023</v>
      </c>
      <c r="J392">
        <f t="shared" si="41"/>
        <v>8.9674130694681349</v>
      </c>
      <c r="L392">
        <f t="shared" si="40"/>
        <v>8.9674130694681345E-2</v>
      </c>
    </row>
    <row r="393" spans="1:12" x14ac:dyDescent="0.2">
      <c r="A393" s="2"/>
      <c r="B393" s="2">
        <v>1</v>
      </c>
      <c r="C393" s="2">
        <v>32</v>
      </c>
      <c r="D393" s="7">
        <v>1</v>
      </c>
      <c r="E393">
        <f t="shared" si="35"/>
        <v>63.66666666666648</v>
      </c>
      <c r="F393">
        <f t="shared" si="36"/>
        <v>1.061111111111108</v>
      </c>
      <c r="G393">
        <f t="shared" si="37"/>
        <v>5.9276951692352329</v>
      </c>
      <c r="H393">
        <f t="shared" si="38"/>
        <v>2.0746432499737923</v>
      </c>
      <c r="I393">
        <f t="shared" si="39"/>
        <v>67.352104787541023</v>
      </c>
      <c r="J393">
        <f t="shared" si="41"/>
        <v>8.801054084254476</v>
      </c>
      <c r="L393">
        <f t="shared" si="40"/>
        <v>8.8010540842544754E-2</v>
      </c>
    </row>
    <row r="394" spans="1:12" x14ac:dyDescent="0.2">
      <c r="A394" s="2"/>
      <c r="B394" s="2">
        <v>1</v>
      </c>
      <c r="C394" s="2">
        <v>32</v>
      </c>
      <c r="D394" s="7">
        <v>1</v>
      </c>
      <c r="E394">
        <f t="shared" si="35"/>
        <v>63.833333333333144</v>
      </c>
      <c r="F394">
        <f t="shared" si="36"/>
        <v>1.0638888888888858</v>
      </c>
      <c r="G394">
        <f t="shared" si="37"/>
        <v>5.818839337482407</v>
      </c>
      <c r="H394">
        <f t="shared" si="38"/>
        <v>2.0746432499737923</v>
      </c>
      <c r="I394">
        <f t="shared" si="39"/>
        <v>67.352104787541023</v>
      </c>
      <c r="J394">
        <f t="shared" si="41"/>
        <v>8.6394320650225502</v>
      </c>
      <c r="L394">
        <f t="shared" si="40"/>
        <v>8.6394320650225509E-2</v>
      </c>
    </row>
    <row r="395" spans="1:12" x14ac:dyDescent="0.2">
      <c r="A395" s="2"/>
      <c r="B395" s="2">
        <v>1</v>
      </c>
      <c r="C395" s="2">
        <v>32</v>
      </c>
      <c r="D395" s="7">
        <v>1</v>
      </c>
      <c r="E395">
        <f t="shared" si="35"/>
        <v>63.999999999999815</v>
      </c>
      <c r="F395">
        <f t="shared" si="36"/>
        <v>1.0666666666666635</v>
      </c>
      <c r="G395">
        <f t="shared" si="37"/>
        <v>5.7130831060984129</v>
      </c>
      <c r="H395">
        <f t="shared" si="38"/>
        <v>2.0746432499737923</v>
      </c>
      <c r="I395">
        <f t="shared" si="39"/>
        <v>67.352104787541023</v>
      </c>
      <c r="J395">
        <f t="shared" si="41"/>
        <v>8.4824121296877948</v>
      </c>
      <c r="L395">
        <f t="shared" si="40"/>
        <v>8.4824121296877941E-2</v>
      </c>
    </row>
    <row r="396" spans="1:12" x14ac:dyDescent="0.2">
      <c r="A396" s="2"/>
      <c r="B396" s="2">
        <v>1</v>
      </c>
      <c r="C396" s="2">
        <v>32</v>
      </c>
      <c r="D396" s="7">
        <v>1</v>
      </c>
      <c r="E396">
        <f t="shared" ref="E396:E459" si="42">F396*60</f>
        <v>64.166666666666472</v>
      </c>
      <c r="F396">
        <f t="shared" ref="F396:F432" si="43">Tsamp+F395</f>
        <v>1.0694444444444413</v>
      </c>
      <c r="G396">
        <f t="shared" ref="G396:G459" si="44">Tsamp*$D396*G$3/G$5+G$8*G395</f>
        <v>5.6103382159400166</v>
      </c>
      <c r="H396">
        <f t="shared" ref="H396:H459" si="45">$D396*$G$3/$G$6</f>
        <v>2.0746432499737923</v>
      </c>
      <c r="I396">
        <f t="shared" ref="I396:I459" si="46">Tsamp*32*$G$3/($G$5*(1-$G$8))</f>
        <v>67.352104787541023</v>
      </c>
      <c r="J396">
        <f t="shared" si="41"/>
        <v>8.3298632368469523</v>
      </c>
      <c r="L396">
        <f t="shared" ref="L396:L459" si="47">$J396/100</f>
        <v>8.3298632368469516E-2</v>
      </c>
    </row>
    <row r="397" spans="1:12" x14ac:dyDescent="0.2">
      <c r="A397" s="2"/>
      <c r="B397" s="2">
        <v>1</v>
      </c>
      <c r="C397" s="2">
        <v>32</v>
      </c>
      <c r="D397" s="7">
        <v>1</v>
      </c>
      <c r="E397">
        <f t="shared" si="42"/>
        <v>64.333333333333144</v>
      </c>
      <c r="F397">
        <f t="shared" si="43"/>
        <v>1.0722222222222191</v>
      </c>
      <c r="G397">
        <f t="shared" si="44"/>
        <v>5.5105189209867875</v>
      </c>
      <c r="H397">
        <f t="shared" si="45"/>
        <v>2.0746432499737923</v>
      </c>
      <c r="I397">
        <f t="shared" si="46"/>
        <v>67.352104787541023</v>
      </c>
      <c r="J397">
        <f t="shared" ref="J397:J460" si="48">$G397/$I397*100</f>
        <v>8.1816580764171434</v>
      </c>
      <c r="L397">
        <f t="shared" si="47"/>
        <v>8.1816580764171434E-2</v>
      </c>
    </row>
    <row r="398" spans="1:12" x14ac:dyDescent="0.2">
      <c r="A398" s="2"/>
      <c r="B398" s="2">
        <v>1</v>
      </c>
      <c r="C398" s="2">
        <v>32</v>
      </c>
      <c r="D398" s="7">
        <v>1</v>
      </c>
      <c r="E398">
        <f t="shared" si="42"/>
        <v>64.499999999999815</v>
      </c>
      <c r="F398">
        <f t="shared" si="43"/>
        <v>1.0749999999999968</v>
      </c>
      <c r="G398">
        <f t="shared" si="44"/>
        <v>5.4135419167815275</v>
      </c>
      <c r="H398">
        <f t="shared" si="45"/>
        <v>2.0746432499737923</v>
      </c>
      <c r="I398">
        <f t="shared" si="46"/>
        <v>67.352104787541023</v>
      </c>
      <c r="J398">
        <f t="shared" si="48"/>
        <v>8.0376729633888733</v>
      </c>
      <c r="L398">
        <f t="shared" si="47"/>
        <v>8.0376729633888727E-2</v>
      </c>
    </row>
    <row r="399" spans="1:12" x14ac:dyDescent="0.2">
      <c r="A399" s="2"/>
      <c r="B399" s="2">
        <v>1</v>
      </c>
      <c r="C399" s="2">
        <v>32</v>
      </c>
      <c r="D399" s="7">
        <v>1</v>
      </c>
      <c r="E399">
        <f t="shared" si="42"/>
        <v>64.666666666666472</v>
      </c>
      <c r="F399">
        <f t="shared" si="43"/>
        <v>1.0777777777777746</v>
      </c>
      <c r="G399">
        <f t="shared" si="44"/>
        <v>5.3193262709083164</v>
      </c>
      <c r="H399">
        <f t="shared" si="45"/>
        <v>2.0746432499737923</v>
      </c>
      <c r="I399">
        <f t="shared" si="46"/>
        <v>67.352104787541023</v>
      </c>
      <c r="J399">
        <f t="shared" si="48"/>
        <v>7.897787734604397</v>
      </c>
      <c r="L399">
        <f t="shared" si="47"/>
        <v>7.8977877346043973E-2</v>
      </c>
    </row>
    <row r="400" spans="1:12" x14ac:dyDescent="0.2">
      <c r="A400" s="2"/>
      <c r="B400" s="2">
        <v>1</v>
      </c>
      <c r="C400" s="2">
        <v>32</v>
      </c>
      <c r="D400" s="7">
        <v>1</v>
      </c>
      <c r="E400">
        <f t="shared" si="42"/>
        <v>64.833333333333144</v>
      </c>
      <c r="F400">
        <f t="shared" si="43"/>
        <v>1.0805555555555524</v>
      </c>
      <c r="G400">
        <f t="shared" si="44"/>
        <v>5.2277933554501503</v>
      </c>
      <c r="H400">
        <f t="shared" si="45"/>
        <v>2.0746432499737923</v>
      </c>
      <c r="I400">
        <f t="shared" si="46"/>
        <v>67.352104787541023</v>
      </c>
      <c r="J400">
        <f t="shared" si="48"/>
        <v>7.7618856484752374</v>
      </c>
      <c r="L400">
        <f t="shared" si="47"/>
        <v>7.7618856484752377E-2</v>
      </c>
    </row>
    <row r="401" spans="1:12" x14ac:dyDescent="0.2">
      <c r="A401" s="2"/>
      <c r="B401" s="2">
        <v>1</v>
      </c>
      <c r="C401" s="2">
        <v>32</v>
      </c>
      <c r="D401" s="7">
        <v>1</v>
      </c>
      <c r="E401">
        <f t="shared" si="42"/>
        <v>64.999999999999815</v>
      </c>
      <c r="F401">
        <f t="shared" si="43"/>
        <v>1.0833333333333302</v>
      </c>
      <c r="G401">
        <f t="shared" si="44"/>
        <v>5.1388667813698037</v>
      </c>
      <c r="H401">
        <f t="shared" si="45"/>
        <v>2.0746432499737923</v>
      </c>
      <c r="I401">
        <f t="shared" si="46"/>
        <v>67.352104787541023</v>
      </c>
      <c r="J401">
        <f t="shared" si="48"/>
        <v>7.6298532875551732</v>
      </c>
      <c r="L401">
        <f t="shared" si="47"/>
        <v>7.6298532875551731E-2</v>
      </c>
    </row>
    <row r="402" spans="1:12" x14ac:dyDescent="0.2">
      <c r="A402" s="2"/>
      <c r="B402" s="2">
        <v>1</v>
      </c>
      <c r="C402" s="2">
        <v>32</v>
      </c>
      <c r="D402" s="7">
        <v>1</v>
      </c>
      <c r="E402">
        <f t="shared" si="42"/>
        <v>65.166666666666472</v>
      </c>
      <c r="F402">
        <f t="shared" si="43"/>
        <v>1.0861111111111079</v>
      </c>
      <c r="G402">
        <f t="shared" si="44"/>
        <v>5.0524723347591562</v>
      </c>
      <c r="H402">
        <f t="shared" si="45"/>
        <v>2.0746432499737923</v>
      </c>
      <c r="I402">
        <f t="shared" si="46"/>
        <v>67.352104787541023</v>
      </c>
      <c r="J402">
        <f t="shared" si="48"/>
        <v>7.5015804638874126</v>
      </c>
      <c r="L402">
        <f t="shared" si="47"/>
        <v>7.5015804638874126E-2</v>
      </c>
    </row>
    <row r="403" spans="1:12" x14ac:dyDescent="0.2">
      <c r="A403" s="2"/>
      <c r="B403" s="2">
        <v>0.5</v>
      </c>
      <c r="C403" s="2">
        <v>32</v>
      </c>
      <c r="D403" s="7">
        <v>0.5</v>
      </c>
      <c r="E403">
        <f t="shared" si="42"/>
        <v>65.333333333333144</v>
      </c>
      <c r="F403">
        <f t="shared" si="43"/>
        <v>1.0888888888888857</v>
      </c>
      <c r="G403">
        <f t="shared" si="44"/>
        <v>4.938572161479124</v>
      </c>
      <c r="H403">
        <f t="shared" si="45"/>
        <v>1.0373216249868962</v>
      </c>
      <c r="I403">
        <f t="shared" si="46"/>
        <v>67.352104787541023</v>
      </c>
      <c r="J403">
        <f t="shared" si="48"/>
        <v>7.3324689362828561</v>
      </c>
      <c r="L403">
        <f t="shared" si="47"/>
        <v>7.3324689362828557E-2</v>
      </c>
    </row>
    <row r="404" spans="1:12" x14ac:dyDescent="0.2">
      <c r="A404" s="2"/>
      <c r="B404" s="2">
        <v>0.5</v>
      </c>
      <c r="C404" s="2">
        <v>32</v>
      </c>
      <c r="D404" s="7">
        <v>0.5</v>
      </c>
      <c r="E404">
        <f t="shared" si="42"/>
        <v>65.499999999999801</v>
      </c>
      <c r="F404">
        <f t="shared" si="43"/>
        <v>1.0916666666666635</v>
      </c>
      <c r="G404">
        <f t="shared" si="44"/>
        <v>4.8279152229750695</v>
      </c>
      <c r="H404">
        <f t="shared" si="45"/>
        <v>1.0373216249868962</v>
      </c>
      <c r="I404">
        <f t="shared" si="46"/>
        <v>67.352104787541023</v>
      </c>
      <c r="J404">
        <f t="shared" si="48"/>
        <v>7.168172751548739</v>
      </c>
      <c r="L404">
        <f t="shared" si="47"/>
        <v>7.168172751548739E-2</v>
      </c>
    </row>
    <row r="405" spans="1:12" x14ac:dyDescent="0.2">
      <c r="A405" s="2"/>
      <c r="B405" s="2">
        <v>0.5</v>
      </c>
      <c r="C405" s="2">
        <v>32</v>
      </c>
      <c r="D405" s="7">
        <v>0.5</v>
      </c>
      <c r="E405">
        <f t="shared" si="42"/>
        <v>65.666666666666472</v>
      </c>
      <c r="F405">
        <f t="shared" si="43"/>
        <v>1.0944444444444412</v>
      </c>
      <c r="G405">
        <f t="shared" si="44"/>
        <v>4.7204091702056417</v>
      </c>
      <c r="H405">
        <f t="shared" si="45"/>
        <v>1.0373216249868962</v>
      </c>
      <c r="I405">
        <f t="shared" si="46"/>
        <v>67.352104787541023</v>
      </c>
      <c r="J405">
        <f t="shared" si="48"/>
        <v>7.0085547958685854</v>
      </c>
      <c r="L405">
        <f t="shared" si="47"/>
        <v>7.0085547958685851E-2</v>
      </c>
    </row>
    <row r="406" spans="1:12" x14ac:dyDescent="0.2">
      <c r="A406" s="2"/>
      <c r="B406" s="2">
        <v>0.5</v>
      </c>
      <c r="C406" s="2">
        <v>32</v>
      </c>
      <c r="D406" s="7">
        <v>0.5</v>
      </c>
      <c r="E406">
        <f t="shared" si="42"/>
        <v>65.833333333333144</v>
      </c>
      <c r="F406">
        <f t="shared" si="43"/>
        <v>1.097222222222219</v>
      </c>
      <c r="G406">
        <f t="shared" si="44"/>
        <v>4.6159642837095323</v>
      </c>
      <c r="H406">
        <f t="shared" si="45"/>
        <v>1.0373216249868962</v>
      </c>
      <c r="I406">
        <f t="shared" si="46"/>
        <v>67.352104787541023</v>
      </c>
      <c r="J406">
        <f t="shared" si="48"/>
        <v>6.8534818596543783</v>
      </c>
      <c r="L406">
        <f t="shared" si="47"/>
        <v>6.8534818596543784E-2</v>
      </c>
    </row>
    <row r="407" spans="1:12" x14ac:dyDescent="0.2">
      <c r="A407" s="2"/>
      <c r="B407" s="2">
        <v>0.5</v>
      </c>
      <c r="C407" s="2">
        <v>32</v>
      </c>
      <c r="D407" s="7">
        <v>0.5</v>
      </c>
      <c r="E407">
        <f t="shared" si="42"/>
        <v>65.999999999999801</v>
      </c>
      <c r="F407">
        <f t="shared" si="43"/>
        <v>1.0999999999999968</v>
      </c>
      <c r="G407">
        <f t="shared" si="44"/>
        <v>4.5144933987298597</v>
      </c>
      <c r="H407">
        <f t="shared" si="45"/>
        <v>1.0373216249868962</v>
      </c>
      <c r="I407">
        <f t="shared" si="46"/>
        <v>67.352104787541023</v>
      </c>
      <c r="J407">
        <f t="shared" si="48"/>
        <v>6.7028245263761432</v>
      </c>
      <c r="L407">
        <f t="shared" si="47"/>
        <v>6.702824526376143E-2</v>
      </c>
    </row>
    <row r="408" spans="1:12" x14ac:dyDescent="0.2">
      <c r="A408" s="2"/>
      <c r="B408" s="2">
        <v>0.5</v>
      </c>
      <c r="C408" s="2">
        <v>32</v>
      </c>
      <c r="D408" s="7">
        <v>0.5</v>
      </c>
      <c r="E408">
        <f t="shared" si="42"/>
        <v>66.166666666666472</v>
      </c>
      <c r="F408">
        <f t="shared" si="43"/>
        <v>1.1027777777777745</v>
      </c>
      <c r="G408">
        <f t="shared" si="44"/>
        <v>4.4159118324705915</v>
      </c>
      <c r="H408">
        <f t="shared" si="45"/>
        <v>1.0373216249868962</v>
      </c>
      <c r="I408">
        <f t="shared" si="46"/>
        <v>67.352104787541023</v>
      </c>
      <c r="J408">
        <f t="shared" si="48"/>
        <v>6.5564570645570361</v>
      </c>
      <c r="L408">
        <f t="shared" si="47"/>
        <v>6.5564570645570364E-2</v>
      </c>
    </row>
    <row r="409" spans="1:12" x14ac:dyDescent="0.2">
      <c r="A409" s="2"/>
      <c r="B409" s="2">
        <v>0.5</v>
      </c>
      <c r="C409" s="2">
        <v>32</v>
      </c>
      <c r="D409" s="7">
        <v>0.5</v>
      </c>
      <c r="E409">
        <f t="shared" si="42"/>
        <v>66.333333333333144</v>
      </c>
      <c r="F409">
        <f t="shared" si="43"/>
        <v>1.1055555555555523</v>
      </c>
      <c r="G409">
        <f t="shared" si="44"/>
        <v>4.3201373134242926</v>
      </c>
      <c r="H409">
        <f t="shared" si="45"/>
        <v>1.0373216249868962</v>
      </c>
      <c r="I409">
        <f t="shared" si="46"/>
        <v>67.352104787541023</v>
      </c>
      <c r="J409">
        <f t="shared" si="48"/>
        <v>6.4142573228438193</v>
      </c>
      <c r="L409">
        <f t="shared" si="47"/>
        <v>6.4142573228438193E-2</v>
      </c>
    </row>
    <row r="410" spans="1:12" x14ac:dyDescent="0.2">
      <c r="A410" s="2"/>
      <c r="B410" s="2">
        <v>0.5</v>
      </c>
      <c r="C410" s="2">
        <v>32</v>
      </c>
      <c r="D410" s="7">
        <v>0.5</v>
      </c>
      <c r="E410">
        <f t="shared" si="42"/>
        <v>66.499999999999801</v>
      </c>
      <c r="F410">
        <f t="shared" si="43"/>
        <v>1.1083333333333301</v>
      </c>
      <c r="G410">
        <f t="shared" si="44"/>
        <v>4.227089912712219</v>
      </c>
      <c r="H410">
        <f t="shared" si="45"/>
        <v>1.0373216249868962</v>
      </c>
      <c r="I410">
        <f t="shared" si="46"/>
        <v>67.352104787541023</v>
      </c>
      <c r="J410">
        <f t="shared" si="48"/>
        <v>6.2761066280651079</v>
      </c>
      <c r="L410">
        <f t="shared" si="47"/>
        <v>6.2761066280651076E-2</v>
      </c>
    </row>
    <row r="411" spans="1:12" x14ac:dyDescent="0.2">
      <c r="A411" s="2"/>
      <c r="B411" s="2">
        <v>0.5</v>
      </c>
      <c r="C411" s="2">
        <v>32</v>
      </c>
      <c r="D411" s="7">
        <v>0.5</v>
      </c>
      <c r="E411">
        <f t="shared" si="42"/>
        <v>66.666666666666472</v>
      </c>
      <c r="F411">
        <f t="shared" si="43"/>
        <v>1.1111111111111078</v>
      </c>
      <c r="G411">
        <f t="shared" si="44"/>
        <v>4.1366919773794635</v>
      </c>
      <c r="H411">
        <f t="shared" si="45"/>
        <v>1.0373216249868962</v>
      </c>
      <c r="I411">
        <f t="shared" si="46"/>
        <v>67.352104787541023</v>
      </c>
      <c r="J411">
        <f t="shared" si="48"/>
        <v>6.1418896861923757</v>
      </c>
      <c r="L411">
        <f t="shared" si="47"/>
        <v>6.1418896861923755E-2</v>
      </c>
    </row>
    <row r="412" spans="1:12" x14ac:dyDescent="0.2">
      <c r="A412" s="2"/>
      <c r="B412" s="2">
        <v>0.5</v>
      </c>
      <c r="C412" s="2">
        <v>32</v>
      </c>
      <c r="D412" s="7">
        <v>0.5</v>
      </c>
      <c r="E412">
        <f t="shared" si="42"/>
        <v>66.83333333333313</v>
      </c>
      <c r="F412">
        <f t="shared" si="43"/>
        <v>1.1138888888888856</v>
      </c>
      <c r="G412">
        <f t="shared" si="44"/>
        <v>4.0488680655894731</v>
      </c>
      <c r="H412">
        <f t="shared" si="45"/>
        <v>1.0373216249868962</v>
      </c>
      <c r="I412">
        <f t="shared" si="46"/>
        <v>67.352104787541023</v>
      </c>
      <c r="J412">
        <f t="shared" si="48"/>
        <v>6.0114944861210091</v>
      </c>
      <c r="L412">
        <f t="shared" si="47"/>
        <v>6.0114944861210093E-2</v>
      </c>
    </row>
    <row r="413" spans="1:12" x14ac:dyDescent="0.2">
      <c r="A413" s="2"/>
      <c r="B413" s="2">
        <v>0.5</v>
      </c>
      <c r="C413" s="2">
        <v>32</v>
      </c>
      <c r="D413" s="7">
        <v>0.5</v>
      </c>
      <c r="E413">
        <f t="shared" si="42"/>
        <v>66.999999999999801</v>
      </c>
      <c r="F413">
        <f t="shared" si="43"/>
        <v>1.1166666666666634</v>
      </c>
      <c r="G413">
        <f t="shared" si="44"/>
        <v>3.9635448836638649</v>
      </c>
      <c r="H413">
        <f t="shared" si="45"/>
        <v>1.0373216249868962</v>
      </c>
      <c r="I413">
        <f t="shared" si="46"/>
        <v>67.352104787541023</v>
      </c>
      <c r="J413">
        <f t="shared" si="48"/>
        <v>5.8848122061911452</v>
      </c>
      <c r="L413">
        <f t="shared" si="47"/>
        <v>5.8848122061911451E-2</v>
      </c>
    </row>
    <row r="414" spans="1:12" x14ac:dyDescent="0.2">
      <c r="A414" s="2"/>
      <c r="B414" s="2">
        <v>0.5</v>
      </c>
      <c r="C414" s="2">
        <v>32</v>
      </c>
      <c r="D414" s="7">
        <v>0.5</v>
      </c>
      <c r="E414">
        <f t="shared" si="42"/>
        <v>67.166666666666472</v>
      </c>
      <c r="F414">
        <f t="shared" si="43"/>
        <v>1.1194444444444411</v>
      </c>
      <c r="G414">
        <f t="shared" si="44"/>
        <v>3.8806512249149936</v>
      </c>
      <c r="H414">
        <f t="shared" si="45"/>
        <v>1.0373216249868962</v>
      </c>
      <c r="I414">
        <f t="shared" si="46"/>
        <v>67.352104787541023</v>
      </c>
      <c r="J414">
        <f t="shared" si="48"/>
        <v>5.7617371233702661</v>
      </c>
      <c r="L414">
        <f t="shared" si="47"/>
        <v>5.7617371233702662E-2</v>
      </c>
    </row>
    <row r="415" spans="1:12" x14ac:dyDescent="0.2">
      <c r="A415" s="2"/>
      <c r="B415" s="2">
        <v>0.5</v>
      </c>
      <c r="C415" s="2">
        <v>32</v>
      </c>
      <c r="D415" s="7">
        <v>0.5</v>
      </c>
      <c r="E415">
        <f t="shared" si="42"/>
        <v>67.33333333333313</v>
      </c>
      <c r="F415">
        <f t="shared" si="43"/>
        <v>1.1222222222222189</v>
      </c>
      <c r="G415">
        <f t="shared" si="44"/>
        <v>3.8001179102202216</v>
      </c>
      <c r="H415">
        <f t="shared" si="45"/>
        <v>1.0373216249868962</v>
      </c>
      <c r="I415">
        <f t="shared" si="46"/>
        <v>67.352104787541023</v>
      </c>
      <c r="J415">
        <f t="shared" si="48"/>
        <v>5.6421665250217652</v>
      </c>
      <c r="L415">
        <f t="shared" si="47"/>
        <v>5.6421665250217655E-2</v>
      </c>
    </row>
    <row r="416" spans="1:12" x14ac:dyDescent="0.2">
      <c r="A416" s="2"/>
      <c r="B416" s="2">
        <v>0.5</v>
      </c>
      <c r="C416" s="2">
        <v>32</v>
      </c>
      <c r="D416" s="7">
        <v>0.5</v>
      </c>
      <c r="E416">
        <f t="shared" si="42"/>
        <v>67.499999999999801</v>
      </c>
      <c r="F416">
        <f t="shared" si="43"/>
        <v>1.1249999999999967</v>
      </c>
      <c r="G416">
        <f t="shared" si="44"/>
        <v>3.7218777302882975</v>
      </c>
      <c r="H416">
        <f t="shared" si="45"/>
        <v>1.0373216249868962</v>
      </c>
      <c r="I416">
        <f t="shared" si="46"/>
        <v>67.352104787541023</v>
      </c>
      <c r="J416">
        <f t="shared" si="48"/>
        <v>5.5260006231858405</v>
      </c>
      <c r="L416">
        <f t="shared" si="47"/>
        <v>5.5260006231858408E-2</v>
      </c>
    </row>
    <row r="417" spans="1:12" x14ac:dyDescent="0.2">
      <c r="A417" s="2"/>
      <c r="B417" s="2">
        <v>0.5</v>
      </c>
      <c r="C417" s="2">
        <v>32</v>
      </c>
      <c r="D417" s="7">
        <v>0.5</v>
      </c>
      <c r="E417">
        <f t="shared" si="42"/>
        <v>67.666666666666472</v>
      </c>
      <c r="F417">
        <f t="shared" si="43"/>
        <v>1.1277777777777744</v>
      </c>
      <c r="G417">
        <f t="shared" si="44"/>
        <v>3.6458653895696651</v>
      </c>
      <c r="H417">
        <f t="shared" si="45"/>
        <v>1.0373216249868962</v>
      </c>
      <c r="I417">
        <f t="shared" si="46"/>
        <v>67.352104787541023</v>
      </c>
      <c r="J417">
        <f t="shared" si="48"/>
        <v>5.4131424713011898</v>
      </c>
      <c r="L417">
        <f t="shared" si="47"/>
        <v>5.4131424713011897E-2</v>
      </c>
    </row>
    <row r="418" spans="1:12" x14ac:dyDescent="0.2">
      <c r="A418" s="2"/>
      <c r="B418" s="2">
        <v>0.5</v>
      </c>
      <c r="C418" s="2">
        <v>32</v>
      </c>
      <c r="D418" s="7">
        <v>0.5</v>
      </c>
      <c r="E418">
        <f t="shared" si="42"/>
        <v>67.83333333333313</v>
      </c>
      <c r="F418">
        <f t="shared" si="43"/>
        <v>1.1305555555555522</v>
      </c>
      <c r="G418">
        <f t="shared" si="44"/>
        <v>3.5720174517638887</v>
      </c>
      <c r="H418">
        <f t="shared" si="45"/>
        <v>1.0373216249868962</v>
      </c>
      <c r="I418">
        <f t="shared" si="46"/>
        <v>67.352104787541023</v>
      </c>
      <c r="J418">
        <f t="shared" si="48"/>
        <v>5.3034978832979993</v>
      </c>
      <c r="L418">
        <f t="shared" si="47"/>
        <v>5.3034978832979994E-2</v>
      </c>
    </row>
    <row r="419" spans="1:12" x14ac:dyDescent="0.2">
      <c r="A419" s="2"/>
      <c r="B419" s="2">
        <v>0.5</v>
      </c>
      <c r="C419" s="2">
        <v>32</v>
      </c>
      <c r="D419" s="7">
        <v>0.5</v>
      </c>
      <c r="E419">
        <f t="shared" si="42"/>
        <v>67.999999999999801</v>
      </c>
      <c r="F419">
        <f t="shared" si="43"/>
        <v>1.13333333333333</v>
      </c>
      <c r="G419">
        <f t="shared" si="44"/>
        <v>3.5002722868787215</v>
      </c>
      <c r="H419">
        <f t="shared" si="45"/>
        <v>1.0373216249868962</v>
      </c>
      <c r="I419">
        <f t="shared" si="46"/>
        <v>67.352104787541023</v>
      </c>
      <c r="J419">
        <f t="shared" si="48"/>
        <v>5.1969753549947137</v>
      </c>
      <c r="L419">
        <f t="shared" si="47"/>
        <v>5.1969753549947137E-2</v>
      </c>
    </row>
    <row r="420" spans="1:12" x14ac:dyDescent="0.2">
      <c r="A420" s="2"/>
      <c r="B420" s="2">
        <v>0.5</v>
      </c>
      <c r="C420" s="2">
        <v>32</v>
      </c>
      <c r="D420" s="7">
        <v>0.5</v>
      </c>
      <c r="E420">
        <f t="shared" si="42"/>
        <v>68.166666666666458</v>
      </c>
      <c r="F420">
        <f t="shared" si="43"/>
        <v>1.1361111111111077</v>
      </c>
      <c r="G420">
        <f t="shared" si="44"/>
        <v>3.4305700197966313</v>
      </c>
      <c r="H420">
        <f t="shared" si="45"/>
        <v>1.0373216249868962</v>
      </c>
      <c r="I420">
        <f t="shared" si="46"/>
        <v>67.352104787541023</v>
      </c>
      <c r="J420">
        <f t="shared" si="48"/>
        <v>5.0934859877329739</v>
      </c>
      <c r="L420">
        <f t="shared" si="47"/>
        <v>5.0934859877329736E-2</v>
      </c>
    </row>
    <row r="421" spans="1:12" x14ac:dyDescent="0.2">
      <c r="A421" s="2"/>
      <c r="B421" s="2">
        <v>0.5</v>
      </c>
      <c r="C421" s="2">
        <v>32</v>
      </c>
      <c r="D421" s="7">
        <v>0.5</v>
      </c>
      <c r="E421">
        <f t="shared" si="42"/>
        <v>68.33333333333313</v>
      </c>
      <c r="F421">
        <f t="shared" si="43"/>
        <v>1.1388888888888855</v>
      </c>
      <c r="G421">
        <f t="shared" si="44"/>
        <v>3.3628524803058619</v>
      </c>
      <c r="H421">
        <f t="shared" si="45"/>
        <v>1.0373216249868962</v>
      </c>
      <c r="I421">
        <f t="shared" si="46"/>
        <v>67.352104787541023</v>
      </c>
      <c r="J421">
        <f t="shared" si="48"/>
        <v>4.9929434141870077</v>
      </c>
      <c r="L421">
        <f t="shared" si="47"/>
        <v>4.992943414187008E-2</v>
      </c>
    </row>
    <row r="422" spans="1:12" x14ac:dyDescent="0.2">
      <c r="A422" s="2"/>
      <c r="B422" s="2">
        <v>0.5</v>
      </c>
      <c r="C422" s="2">
        <v>32</v>
      </c>
      <c r="D422" s="7">
        <v>0.5</v>
      </c>
      <c r="E422">
        <f t="shared" si="42"/>
        <v>68.499999999999801</v>
      </c>
      <c r="F422">
        <f t="shared" si="43"/>
        <v>1.1416666666666633</v>
      </c>
      <c r="G422">
        <f t="shared" si="44"/>
        <v>3.2970631545543303</v>
      </c>
      <c r="H422">
        <f t="shared" si="45"/>
        <v>1.0373216249868962</v>
      </c>
      <c r="I422">
        <f t="shared" si="46"/>
        <v>67.352104787541023</v>
      </c>
      <c r="J422">
        <f t="shared" si="48"/>
        <v>4.8952637262855525</v>
      </c>
      <c r="L422">
        <f t="shared" si="47"/>
        <v>4.8952637262855522E-2</v>
      </c>
    </row>
    <row r="423" spans="1:12" x14ac:dyDescent="0.2">
      <c r="A423" s="2"/>
      <c r="B423" s="2">
        <v>0.5</v>
      </c>
      <c r="C423" s="2">
        <v>32</v>
      </c>
      <c r="D423" s="7">
        <v>0.5</v>
      </c>
      <c r="E423">
        <f t="shared" si="42"/>
        <v>68.666666666666458</v>
      </c>
      <c r="F423">
        <f t="shared" si="43"/>
        <v>1.144444444444441</v>
      </c>
      <c r="G423">
        <f t="shared" si="44"/>
        <v>3.2331471378858403</v>
      </c>
      <c r="H423">
        <f t="shared" si="45"/>
        <v>1.0373216249868962</v>
      </c>
      <c r="I423">
        <f t="shared" si="46"/>
        <v>67.352104787541023</v>
      </c>
      <c r="J423">
        <f t="shared" si="48"/>
        <v>4.8003654051861444</v>
      </c>
      <c r="L423">
        <f t="shared" si="47"/>
        <v>4.8003654051861445E-2</v>
      </c>
    </row>
    <row r="424" spans="1:12" x14ac:dyDescent="0.2">
      <c r="A424" s="2"/>
      <c r="B424" s="2">
        <v>0.5</v>
      </c>
      <c r="C424" s="2">
        <v>32</v>
      </c>
      <c r="D424" s="7">
        <v>0.5</v>
      </c>
      <c r="E424">
        <f t="shared" si="42"/>
        <v>68.83333333333313</v>
      </c>
      <c r="F424">
        <f t="shared" si="43"/>
        <v>1.1472222222222188</v>
      </c>
      <c r="G424">
        <f t="shared" si="44"/>
        <v>3.1710510890192567</v>
      </c>
      <c r="H424">
        <f t="shared" si="45"/>
        <v>1.0373216249868962</v>
      </c>
      <c r="I424">
        <f t="shared" si="46"/>
        <v>67.352104787541023</v>
      </c>
      <c r="J424">
        <f t="shared" si="48"/>
        <v>4.7081692532433621</v>
      </c>
      <c r="L424">
        <f t="shared" si="47"/>
        <v>4.7081692532433619E-2</v>
      </c>
    </row>
    <row r="425" spans="1:12" x14ac:dyDescent="0.2">
      <c r="A425" s="2"/>
      <c r="B425" s="2">
        <v>0.5</v>
      </c>
      <c r="C425" s="2">
        <v>32</v>
      </c>
      <c r="D425" s="7">
        <v>0.5</v>
      </c>
      <c r="E425">
        <f t="shared" si="42"/>
        <v>68.999999999999801</v>
      </c>
      <c r="F425">
        <f t="shared" si="43"/>
        <v>1.1499999999999966</v>
      </c>
      <c r="G425">
        <f t="shared" si="44"/>
        <v>3.1107231855323976</v>
      </c>
      <c r="H425">
        <f t="shared" si="45"/>
        <v>1.0373216249868962</v>
      </c>
      <c r="I425">
        <f t="shared" si="46"/>
        <v>67.352104787541023</v>
      </c>
      <c r="J425">
        <f t="shared" si="48"/>
        <v>4.6185983279142118</v>
      </c>
      <c r="L425">
        <f t="shared" si="47"/>
        <v>4.6185983279142119E-2</v>
      </c>
    </row>
    <row r="426" spans="1:12" x14ac:dyDescent="0.2">
      <c r="A426" s="2"/>
      <c r="B426" s="2">
        <v>0.5</v>
      </c>
      <c r="C426" s="2">
        <v>32</v>
      </c>
      <c r="D426" s="7">
        <v>0.5</v>
      </c>
      <c r="E426">
        <f t="shared" si="42"/>
        <v>69.166666666666458</v>
      </c>
      <c r="F426">
        <f t="shared" si="43"/>
        <v>1.1527777777777743</v>
      </c>
      <c r="G426">
        <f t="shared" si="44"/>
        <v>3.0521130806134948</v>
      </c>
      <c r="H426">
        <f t="shared" si="45"/>
        <v>1.0373216249868962</v>
      </c>
      <c r="I426">
        <f t="shared" si="46"/>
        <v>67.352104787541023</v>
      </c>
      <c r="J426">
        <f t="shared" si="48"/>
        <v>4.5315778775455335</v>
      </c>
      <c r="L426">
        <f t="shared" si="47"/>
        <v>4.5315778775455333E-2</v>
      </c>
    </row>
    <row r="427" spans="1:12" x14ac:dyDescent="0.2">
      <c r="A427" s="2"/>
      <c r="B427" s="2">
        <v>0.5</v>
      </c>
      <c r="C427" s="2">
        <v>32</v>
      </c>
      <c r="D427" s="7">
        <v>0.5</v>
      </c>
      <c r="E427">
        <f t="shared" si="42"/>
        <v>69.33333333333313</v>
      </c>
      <c r="F427">
        <f t="shared" si="43"/>
        <v>1.1555555555555521</v>
      </c>
      <c r="G427">
        <f t="shared" si="44"/>
        <v>2.9951718610441285</v>
      </c>
      <c r="H427">
        <f t="shared" si="45"/>
        <v>1.0373216249868962</v>
      </c>
      <c r="I427">
        <f t="shared" si="46"/>
        <v>67.352104787541023</v>
      </c>
      <c r="J427">
        <f t="shared" si="48"/>
        <v>4.4470352789898016</v>
      </c>
      <c r="L427">
        <f t="shared" si="47"/>
        <v>4.4470352789898013E-2</v>
      </c>
    </row>
    <row r="428" spans="1:12" x14ac:dyDescent="0.2">
      <c r="A428" s="2"/>
      <c r="B428" s="2">
        <v>0.5</v>
      </c>
      <c r="C428" s="2">
        <v>32</v>
      </c>
      <c r="D428" s="7">
        <v>0.5</v>
      </c>
      <c r="E428">
        <f t="shared" si="42"/>
        <v>69.499999999999787</v>
      </c>
      <c r="F428">
        <f t="shared" si="43"/>
        <v>1.1583333333333299</v>
      </c>
      <c r="G428">
        <f t="shared" si="44"/>
        <v>2.9398520063785707</v>
      </c>
      <c r="H428">
        <f t="shared" si="45"/>
        <v>1.0373216249868962</v>
      </c>
      <c r="I428">
        <f t="shared" si="46"/>
        <v>67.352104787541023</v>
      </c>
      <c r="J428">
        <f t="shared" si="48"/>
        <v>4.3648999769972923</v>
      </c>
      <c r="L428">
        <f t="shared" si="47"/>
        <v>4.364899976997292E-2</v>
      </c>
    </row>
    <row r="429" spans="1:12" x14ac:dyDescent="0.2">
      <c r="A429" s="2"/>
      <c r="B429" s="2">
        <v>0.5</v>
      </c>
      <c r="C429" s="2">
        <v>32</v>
      </c>
      <c r="D429" s="7">
        <v>0.5</v>
      </c>
      <c r="E429">
        <f t="shared" si="42"/>
        <v>69.666666666666458</v>
      </c>
      <c r="F429">
        <f t="shared" si="43"/>
        <v>1.1611111111111077</v>
      </c>
      <c r="G429">
        <f t="shared" si="44"/>
        <v>2.8861073492854721</v>
      </c>
      <c r="H429">
        <f t="shared" si="45"/>
        <v>1.0373216249868962</v>
      </c>
      <c r="I429">
        <f t="shared" si="46"/>
        <v>67.352104787541023</v>
      </c>
      <c r="J429">
        <f t="shared" si="48"/>
        <v>4.2851034253340101</v>
      </c>
      <c r="L429">
        <f t="shared" si="47"/>
        <v>4.2851034253340102E-2</v>
      </c>
    </row>
    <row r="430" spans="1:12" x14ac:dyDescent="0.2">
      <c r="A430" s="2"/>
      <c r="B430" s="2">
        <v>0.5</v>
      </c>
      <c r="C430" s="2">
        <v>32</v>
      </c>
      <c r="D430" s="7">
        <v>0.5</v>
      </c>
      <c r="E430">
        <f t="shared" si="42"/>
        <v>69.83333333333313</v>
      </c>
      <c r="F430">
        <f t="shared" si="43"/>
        <v>1.1638888888888854</v>
      </c>
      <c r="G430">
        <f t="shared" si="44"/>
        <v>2.8338930370187922</v>
      </c>
      <c r="H430">
        <f t="shared" si="45"/>
        <v>1.0373216249868962</v>
      </c>
      <c r="I430">
        <f t="shared" si="46"/>
        <v>67.352104787541023</v>
      </c>
      <c r="J430">
        <f t="shared" si="48"/>
        <v>4.2075790295762427</v>
      </c>
      <c r="L430">
        <f t="shared" si="47"/>
        <v>4.207579029576243E-2</v>
      </c>
    </row>
    <row r="431" spans="1:12" x14ac:dyDescent="0.2">
      <c r="A431" s="2"/>
      <c r="B431" s="2">
        <v>0.5</v>
      </c>
      <c r="C431" s="2">
        <v>32</v>
      </c>
      <c r="D431" s="7">
        <v>0.5</v>
      </c>
      <c r="E431">
        <f t="shared" si="42"/>
        <v>69.999999999999787</v>
      </c>
      <c r="F431">
        <f t="shared" si="43"/>
        <v>1.1666666666666632</v>
      </c>
      <c r="G431">
        <f t="shared" si="44"/>
        <v>2.7831654939858232</v>
      </c>
      <c r="H431">
        <f t="shared" si="45"/>
        <v>1.0373216249868962</v>
      </c>
      <c r="I431">
        <f t="shared" si="46"/>
        <v>67.352104787541023</v>
      </c>
      <c r="J431">
        <f t="shared" si="48"/>
        <v>4.1322620915340131</v>
      </c>
      <c r="L431">
        <f t="shared" si="47"/>
        <v>4.1322620915340134E-2</v>
      </c>
    </row>
    <row r="432" spans="1:12" x14ac:dyDescent="0.2">
      <c r="A432" s="2"/>
      <c r="B432" s="2">
        <v>0.5</v>
      </c>
      <c r="C432" s="2">
        <v>16</v>
      </c>
      <c r="D432" s="7">
        <v>0.5</v>
      </c>
      <c r="E432">
        <f t="shared" si="42"/>
        <v>70.166666666666458</v>
      </c>
      <c r="F432">
        <f t="shared" si="43"/>
        <v>1.169444444444441</v>
      </c>
      <c r="G432">
        <f t="shared" si="44"/>
        <v>2.7338823853810612</v>
      </c>
      <c r="H432">
        <f t="shared" si="45"/>
        <v>1.0373216249868962</v>
      </c>
      <c r="I432">
        <f t="shared" si="46"/>
        <v>67.352104787541023</v>
      </c>
      <c r="J432">
        <f t="shared" si="48"/>
        <v>4.0590897552570357</v>
      </c>
      <c r="L432">
        <f t="shared" si="47"/>
        <v>4.0590897552570358E-2</v>
      </c>
    </row>
    <row r="433" spans="1:12" x14ac:dyDescent="0.2">
      <c r="A433" s="2"/>
      <c r="B433" s="2">
        <v>0.5</v>
      </c>
      <c r="C433" s="2">
        <v>16</v>
      </c>
      <c r="D433" s="7">
        <v>0.5</v>
      </c>
      <c r="E433">
        <f t="shared" si="42"/>
        <v>70.33333333333313</v>
      </c>
      <c r="F433">
        <f t="shared" ref="F433:F496" si="49">Tsamp+F432</f>
        <v>1.1722222222222187</v>
      </c>
      <c r="G433">
        <f t="shared" si="44"/>
        <v>2.6860025818555839</v>
      </c>
      <c r="H433">
        <f t="shared" si="45"/>
        <v>1.0373216249868962</v>
      </c>
      <c r="I433">
        <f t="shared" si="46"/>
        <v>67.352104787541023</v>
      </c>
      <c r="J433">
        <f t="shared" si="48"/>
        <v>3.988000954578109</v>
      </c>
      <c r="L433">
        <f t="shared" si="47"/>
        <v>3.9880009545781088E-2</v>
      </c>
    </row>
    <row r="434" spans="1:12" x14ac:dyDescent="0.2">
      <c r="A434" s="48"/>
      <c r="B434" s="48">
        <v>0.5</v>
      </c>
      <c r="C434" s="48">
        <v>16</v>
      </c>
      <c r="D434" s="46">
        <v>0.5</v>
      </c>
      <c r="E434" s="38">
        <f t="shared" si="42"/>
        <v>70.499999999999787</v>
      </c>
      <c r="F434" s="38">
        <f t="shared" si="49"/>
        <v>1.1749999999999965</v>
      </c>
      <c r="G434" s="38">
        <f t="shared" si="44"/>
        <v>2.639486125192442</v>
      </c>
      <c r="H434" s="38">
        <f t="shared" si="45"/>
        <v>1.0373216249868962</v>
      </c>
      <c r="I434" s="39">
        <f t="shared" si="46"/>
        <v>67.352104787541023</v>
      </c>
      <c r="J434" s="39">
        <f t="shared" si="48"/>
        <v>3.9189363621501867</v>
      </c>
      <c r="K434" s="39"/>
      <c r="L434" s="39">
        <f t="shared" si="47"/>
        <v>3.9189363621501869E-2</v>
      </c>
    </row>
    <row r="435" spans="1:12" x14ac:dyDescent="0.2">
      <c r="A435" s="2"/>
      <c r="B435" s="2"/>
      <c r="C435" s="2">
        <v>16</v>
      </c>
      <c r="D435" s="7"/>
      <c r="E435">
        <f t="shared" si="42"/>
        <v>70.666666666666458</v>
      </c>
      <c r="F435">
        <f t="shared" si="49"/>
        <v>1.1777777777777743</v>
      </c>
      <c r="G435">
        <f t="shared" si="44"/>
        <v>2.5643284415347671</v>
      </c>
      <c r="H435">
        <f t="shared" si="45"/>
        <v>0</v>
      </c>
      <c r="I435">
        <f t="shared" si="46"/>
        <v>67.352104787541023</v>
      </c>
      <c r="J435">
        <f t="shared" si="48"/>
        <v>3.8073471491704947</v>
      </c>
      <c r="L435">
        <f t="shared" si="47"/>
        <v>3.8073471491704945E-2</v>
      </c>
    </row>
    <row r="436" spans="1:12" x14ac:dyDescent="0.2">
      <c r="A436" s="2"/>
      <c r="B436" s="2"/>
      <c r="C436" s="2">
        <v>16</v>
      </c>
      <c r="D436" s="7"/>
      <c r="E436">
        <f t="shared" si="42"/>
        <v>70.833333333333115</v>
      </c>
      <c r="F436">
        <f t="shared" si="49"/>
        <v>1.180555555555552</v>
      </c>
      <c r="G436">
        <f t="shared" si="44"/>
        <v>2.4913108249753328</v>
      </c>
      <c r="H436">
        <f t="shared" si="45"/>
        <v>0</v>
      </c>
      <c r="I436">
        <f t="shared" si="46"/>
        <v>67.352104787541023</v>
      </c>
      <c r="J436">
        <f t="shared" si="48"/>
        <v>3.6989353678464143</v>
      </c>
      <c r="L436">
        <f t="shared" si="47"/>
        <v>3.6989353678464142E-2</v>
      </c>
    </row>
    <row r="437" spans="1:12" x14ac:dyDescent="0.2">
      <c r="A437" s="2"/>
      <c r="B437" s="2"/>
      <c r="C437" s="2">
        <v>16</v>
      </c>
      <c r="D437" s="7"/>
      <c r="E437">
        <f t="shared" si="42"/>
        <v>70.999999999999787</v>
      </c>
      <c r="F437">
        <f t="shared" si="49"/>
        <v>1.1833333333333298</v>
      </c>
      <c r="G437">
        <f t="shared" si="44"/>
        <v>2.4203723384686895</v>
      </c>
      <c r="H437">
        <f t="shared" si="45"/>
        <v>0</v>
      </c>
      <c r="I437">
        <f t="shared" si="46"/>
        <v>67.352104787541023</v>
      </c>
      <c r="J437">
        <f t="shared" si="48"/>
        <v>3.5936105428384719</v>
      </c>
      <c r="L437">
        <f t="shared" si="47"/>
        <v>3.5936105428384719E-2</v>
      </c>
    </row>
    <row r="438" spans="1:12" x14ac:dyDescent="0.2">
      <c r="A438" s="2"/>
      <c r="B438" s="2"/>
      <c r="C438" s="2">
        <v>16</v>
      </c>
      <c r="D438" s="7"/>
      <c r="E438">
        <f t="shared" si="42"/>
        <v>71.166666666666458</v>
      </c>
      <c r="F438">
        <f t="shared" si="49"/>
        <v>1.1861111111111076</v>
      </c>
      <c r="G438">
        <f t="shared" si="44"/>
        <v>2.351453780112883</v>
      </c>
      <c r="H438">
        <f t="shared" si="45"/>
        <v>0</v>
      </c>
      <c r="I438">
        <f t="shared" si="46"/>
        <v>67.352104787541023</v>
      </c>
      <c r="J438">
        <f t="shared" si="48"/>
        <v>3.4912847750347682</v>
      </c>
      <c r="L438">
        <f t="shared" si="47"/>
        <v>3.4912847750347684E-2</v>
      </c>
    </row>
    <row r="439" spans="1:12" x14ac:dyDescent="0.2">
      <c r="A439" s="2"/>
      <c r="B439" s="2"/>
      <c r="C439" s="2">
        <v>16</v>
      </c>
      <c r="D439" s="7"/>
      <c r="E439">
        <f t="shared" si="42"/>
        <v>71.333333333333115</v>
      </c>
      <c r="F439">
        <f t="shared" si="49"/>
        <v>1.1888888888888853</v>
      </c>
      <c r="G439">
        <f t="shared" si="44"/>
        <v>2.2844976337423533</v>
      </c>
      <c r="H439">
        <f t="shared" si="45"/>
        <v>0</v>
      </c>
      <c r="I439">
        <f t="shared" si="46"/>
        <v>67.352104787541023</v>
      </c>
      <c r="J439">
        <f t="shared" si="48"/>
        <v>3.3918726681945448</v>
      </c>
      <c r="L439">
        <f t="shared" si="47"/>
        <v>3.3918726681945448E-2</v>
      </c>
    </row>
    <row r="440" spans="1:12" x14ac:dyDescent="0.2">
      <c r="A440" s="2"/>
      <c r="B440" s="2"/>
      <c r="C440" s="2">
        <v>16</v>
      </c>
      <c r="D440" s="7"/>
      <c r="E440">
        <f t="shared" si="42"/>
        <v>71.499999999999787</v>
      </c>
      <c r="F440">
        <f t="shared" si="49"/>
        <v>1.1916666666666631</v>
      </c>
      <c r="G440">
        <f t="shared" si="44"/>
        <v>2.2194480209276635</v>
      </c>
      <c r="H440">
        <f t="shared" si="45"/>
        <v>0</v>
      </c>
      <c r="I440">
        <f t="shared" si="46"/>
        <v>67.352104787541023</v>
      </c>
      <c r="J440">
        <f t="shared" si="48"/>
        <v>3.2952912576805216</v>
      </c>
      <c r="L440">
        <f t="shared" si="47"/>
        <v>3.2952912576805216E-2</v>
      </c>
    </row>
    <row r="441" spans="1:12" x14ac:dyDescent="0.2">
      <c r="A441" s="2"/>
      <c r="B441" s="2"/>
      <c r="C441" s="2">
        <v>16</v>
      </c>
      <c r="D441" s="7"/>
      <c r="E441">
        <f t="shared" si="42"/>
        <v>71.666666666666458</v>
      </c>
      <c r="F441">
        <f t="shared" si="49"/>
        <v>1.1944444444444409</v>
      </c>
      <c r="G441">
        <f t="shared" si="44"/>
        <v>2.1562506543420095</v>
      </c>
      <c r="H441">
        <f t="shared" si="45"/>
        <v>0</v>
      </c>
      <c r="I441">
        <f t="shared" si="46"/>
        <v>67.352104787541023</v>
      </c>
      <c r="J441">
        <f t="shared" si="48"/>
        <v>3.2014599412205436</v>
      </c>
      <c r="L441">
        <f t="shared" si="47"/>
        <v>3.2014599412205434E-2</v>
      </c>
    </row>
    <row r="442" spans="1:12" x14ac:dyDescent="0.2">
      <c r="A442" s="2"/>
      <c r="B442" s="2"/>
      <c r="C442" s="2">
        <v>16</v>
      </c>
      <c r="D442" s="7"/>
      <c r="E442">
        <f t="shared" si="42"/>
        <v>71.833333333333115</v>
      </c>
      <c r="F442">
        <f t="shared" si="49"/>
        <v>1.1972222222222186</v>
      </c>
      <c r="G442">
        <f t="shared" si="44"/>
        <v>2.0948527924555882</v>
      </c>
      <c r="H442">
        <f t="shared" si="45"/>
        <v>0</v>
      </c>
      <c r="I442">
        <f t="shared" si="46"/>
        <v>67.352104787541023</v>
      </c>
      <c r="J442">
        <f t="shared" si="48"/>
        <v>3.1103004116407358</v>
      </c>
      <c r="L442">
        <f t="shared" si="47"/>
        <v>3.110300411640736E-2</v>
      </c>
    </row>
    <row r="443" spans="1:12" x14ac:dyDescent="0.2">
      <c r="A443" s="2"/>
      <c r="B443" s="2"/>
      <c r="C443" s="2">
        <v>16</v>
      </c>
      <c r="D443" s="7"/>
      <c r="E443">
        <f t="shared" si="42"/>
        <v>71.999999999999787</v>
      </c>
      <c r="F443">
        <f t="shared" si="49"/>
        <v>1.1999999999999964</v>
      </c>
      <c r="G443">
        <f t="shared" si="44"/>
        <v>2.0352031955200123</v>
      </c>
      <c r="H443">
        <f t="shared" si="45"/>
        <v>0</v>
      </c>
      <c r="I443">
        <f t="shared" si="46"/>
        <v>67.352104787541023</v>
      </c>
      <c r="J443">
        <f t="shared" si="48"/>
        <v>3.0217365915140482</v>
      </c>
      <c r="L443">
        <f t="shared" si="47"/>
        <v>3.021736591514048E-2</v>
      </c>
    </row>
    <row r="444" spans="1:12" x14ac:dyDescent="0.2">
      <c r="A444" s="2"/>
      <c r="B444" s="2"/>
      <c r="C444" s="2">
        <v>16</v>
      </c>
      <c r="D444" s="7"/>
      <c r="E444">
        <f t="shared" si="42"/>
        <v>72.166666666666444</v>
      </c>
      <c r="F444">
        <f t="shared" si="49"/>
        <v>1.2027777777777742</v>
      </c>
      <c r="G444">
        <f t="shared" si="44"/>
        <v>1.9772520828060443</v>
      </c>
      <c r="H444">
        <f t="shared" si="45"/>
        <v>0</v>
      </c>
      <c r="I444">
        <f t="shared" si="46"/>
        <v>67.352104787541023</v>
      </c>
      <c r="J444">
        <f t="shared" si="48"/>
        <v>2.9356945696696353</v>
      </c>
      <c r="L444">
        <f t="shared" si="47"/>
        <v>2.9356945696696352E-2</v>
      </c>
    </row>
    <row r="445" spans="1:12" x14ac:dyDescent="0.2">
      <c r="A445" s="2"/>
      <c r="B445" s="2"/>
      <c r="C445" s="2">
        <v>16</v>
      </c>
      <c r="D445" s="7"/>
      <c r="E445">
        <f t="shared" si="42"/>
        <v>72.333333333333115</v>
      </c>
      <c r="F445">
        <f t="shared" si="49"/>
        <v>1.2055555555555519</v>
      </c>
      <c r="G445">
        <f t="shared" si="44"/>
        <v>1.9209510910589553</v>
      </c>
      <c r="H445">
        <f t="shared" si="45"/>
        <v>0</v>
      </c>
      <c r="I445">
        <f t="shared" si="46"/>
        <v>67.352104787541023</v>
      </c>
      <c r="J445">
        <f t="shared" si="48"/>
        <v>2.8521025395100912</v>
      </c>
      <c r="L445">
        <f t="shared" si="47"/>
        <v>2.8521025395100912E-2</v>
      </c>
    </row>
    <row r="446" spans="1:12" x14ac:dyDescent="0.2">
      <c r="A446" s="2"/>
      <c r="B446" s="2"/>
      <c r="C446" s="2">
        <v>16</v>
      </c>
      <c r="D446" s="7"/>
      <c r="E446">
        <f t="shared" si="42"/>
        <v>72.499999999999787</v>
      </c>
      <c r="F446">
        <f t="shared" si="49"/>
        <v>1.2083333333333297</v>
      </c>
      <c r="G446">
        <f t="shared" si="44"/>
        <v>1.8662532341368441</v>
      </c>
      <c r="H446">
        <f t="shared" si="45"/>
        <v>0</v>
      </c>
      <c r="I446">
        <f t="shared" si="46"/>
        <v>67.352104787541023</v>
      </c>
      <c r="J446">
        <f t="shared" si="48"/>
        <v>2.7708907390850666</v>
      </c>
      <c r="L446">
        <f t="shared" si="47"/>
        <v>2.7708907390850666E-2</v>
      </c>
    </row>
    <row r="447" spans="1:12" x14ac:dyDescent="0.2">
      <c r="A447" s="2"/>
      <c r="B447" s="2"/>
      <c r="C447" s="2">
        <v>16</v>
      </c>
      <c r="D447" s="7"/>
      <c r="E447">
        <f t="shared" si="42"/>
        <v>72.666666666666444</v>
      </c>
      <c r="F447">
        <f t="shared" si="49"/>
        <v>1.2111111111111075</v>
      </c>
      <c r="G447">
        <f t="shared" si="44"/>
        <v>1.8131128637982263</v>
      </c>
      <c r="H447">
        <f t="shared" si="45"/>
        <v>0</v>
      </c>
      <c r="I447">
        <f t="shared" si="46"/>
        <v>67.352104787541023</v>
      </c>
      <c r="J447">
        <f t="shared" si="48"/>
        <v>2.6919913928712456</v>
      </c>
      <c r="L447">
        <f t="shared" si="47"/>
        <v>2.6919913928712454E-2</v>
      </c>
    </row>
    <row r="448" spans="1:12" x14ac:dyDescent="0.2">
      <c r="A448" s="2"/>
      <c r="B448" s="2"/>
      <c r="C448" s="2">
        <v>16</v>
      </c>
      <c r="D448" s="7"/>
      <c r="E448">
        <f t="shared" si="42"/>
        <v>72.833333333333115</v>
      </c>
      <c r="F448">
        <f t="shared" si="49"/>
        <v>1.2138888888888852</v>
      </c>
      <c r="G448">
        <f t="shared" si="44"/>
        <v>1.7614856316061751</v>
      </c>
      <c r="H448">
        <f t="shared" si="45"/>
        <v>0</v>
      </c>
      <c r="I448">
        <f t="shared" si="46"/>
        <v>67.352104787541023</v>
      </c>
      <c r="J448">
        <f t="shared" si="48"/>
        <v>2.6153386552101034</v>
      </c>
      <c r="L448">
        <f t="shared" si="47"/>
        <v>2.6153386552101036E-2</v>
      </c>
    </row>
    <row r="449" spans="1:12" x14ac:dyDescent="0.2">
      <c r="A449" s="2"/>
      <c r="B449" s="2"/>
      <c r="C449" s="2">
        <v>16</v>
      </c>
      <c r="D449" s="7"/>
      <c r="E449">
        <f t="shared" si="42"/>
        <v>72.999999999999787</v>
      </c>
      <c r="F449">
        <f t="shared" si="49"/>
        <v>1.216666666666663</v>
      </c>
      <c r="G449">
        <f t="shared" si="44"/>
        <v>1.7113284519172143</v>
      </c>
      <c r="H449">
        <f t="shared" si="45"/>
        <v>0</v>
      </c>
      <c r="I449">
        <f t="shared" si="46"/>
        <v>67.352104787541023</v>
      </c>
      <c r="J449">
        <f t="shared" si="48"/>
        <v>2.5408685553562393</v>
      </c>
      <c r="L449">
        <f t="shared" si="47"/>
        <v>2.5408685553562394E-2</v>
      </c>
    </row>
    <row r="450" spans="1:12" x14ac:dyDescent="0.2">
      <c r="A450" s="2"/>
      <c r="B450" s="2"/>
      <c r="C450" s="2">
        <v>16</v>
      </c>
      <c r="D450" s="7"/>
      <c r="E450">
        <f t="shared" si="42"/>
        <v>73.166666666666444</v>
      </c>
      <c r="F450">
        <f t="shared" si="49"/>
        <v>1.2194444444444408</v>
      </c>
      <c r="G450">
        <f t="shared" si="44"/>
        <v>1.6625994659240808</v>
      </c>
      <c r="H450">
        <f t="shared" si="45"/>
        <v>0</v>
      </c>
      <c r="I450">
        <f t="shared" si="46"/>
        <v>67.352104787541023</v>
      </c>
      <c r="J450">
        <f t="shared" si="48"/>
        <v>2.4685189440904196</v>
      </c>
      <c r="L450">
        <f t="shared" si="47"/>
        <v>2.4685189440904195E-2</v>
      </c>
    </row>
    <row r="451" spans="1:12" x14ac:dyDescent="0.2">
      <c r="A451" s="2"/>
      <c r="B451" s="2"/>
      <c r="C451" s="2">
        <v>16</v>
      </c>
      <c r="D451" s="7"/>
      <c r="E451">
        <f t="shared" si="42"/>
        <v>73.333333333333115</v>
      </c>
      <c r="F451">
        <f t="shared" si="49"/>
        <v>1.2222222222222185</v>
      </c>
      <c r="G451">
        <f t="shared" si="44"/>
        <v>1.6152580067223468</v>
      </c>
      <c r="H451">
        <f t="shared" si="45"/>
        <v>0</v>
      </c>
      <c r="I451">
        <f t="shared" si="46"/>
        <v>67.352104787541023</v>
      </c>
      <c r="J451">
        <f t="shared" si="48"/>
        <v>2.398229441852783</v>
      </c>
      <c r="L451">
        <f t="shared" si="47"/>
        <v>2.3982294418527828E-2</v>
      </c>
    </row>
    <row r="452" spans="1:12" x14ac:dyDescent="0.2">
      <c r="A452" s="2"/>
      <c r="B452" s="2"/>
      <c r="C452" s="2">
        <v>16</v>
      </c>
      <c r="D452" s="7"/>
      <c r="E452">
        <f t="shared" si="42"/>
        <v>73.499999999999773</v>
      </c>
      <c r="F452">
        <f t="shared" si="49"/>
        <v>1.2249999999999963</v>
      </c>
      <c r="G452">
        <f t="shared" si="44"/>
        <v>1.5692645653717454</v>
      </c>
      <c r="H452">
        <f t="shared" si="45"/>
        <v>0</v>
      </c>
      <c r="I452">
        <f t="shared" si="46"/>
        <v>67.352104787541023</v>
      </c>
      <c r="J452">
        <f t="shared" si="48"/>
        <v>2.3299413883529176</v>
      </c>
      <c r="L452">
        <f t="shared" si="47"/>
        <v>2.3299413883529175E-2</v>
      </c>
    </row>
    <row r="453" spans="1:12" x14ac:dyDescent="0.2">
      <c r="A453" s="2"/>
      <c r="B453" s="2"/>
      <c r="C453" s="2">
        <v>16</v>
      </c>
      <c r="D453" s="7"/>
      <c r="E453">
        <f t="shared" si="42"/>
        <v>73.666666666666444</v>
      </c>
      <c r="F453">
        <f t="shared" si="49"/>
        <v>1.2277777777777741</v>
      </c>
      <c r="G453">
        <f t="shared" si="44"/>
        <v>1.5245807579238813</v>
      </c>
      <c r="H453">
        <f t="shared" si="45"/>
        <v>0</v>
      </c>
      <c r="I453">
        <f t="shared" si="46"/>
        <v>67.352104787541023</v>
      </c>
      <c r="J453">
        <f t="shared" si="48"/>
        <v>2.2635977936147622</v>
      </c>
      <c r="L453">
        <f t="shared" si="47"/>
        <v>2.2635977936147623E-2</v>
      </c>
    </row>
    <row r="454" spans="1:12" x14ac:dyDescent="0.2">
      <c r="A454" s="2"/>
      <c r="B454" s="2"/>
      <c r="C454" s="2">
        <v>16</v>
      </c>
      <c r="D454" s="7"/>
      <c r="E454">
        <f t="shared" si="42"/>
        <v>73.833333333333115</v>
      </c>
      <c r="F454">
        <f t="shared" si="49"/>
        <v>1.2305555555555518</v>
      </c>
      <c r="G454">
        <f t="shared" si="44"/>
        <v>1.4811692933888037</v>
      </c>
      <c r="H454">
        <f t="shared" si="45"/>
        <v>0</v>
      </c>
      <c r="I454">
        <f t="shared" si="46"/>
        <v>67.352104787541023</v>
      </c>
      <c r="J454">
        <f t="shared" si="48"/>
        <v>2.199143290415468</v>
      </c>
      <c r="L454">
        <f t="shared" si="47"/>
        <v>2.199143290415468E-2</v>
      </c>
    </row>
    <row r="455" spans="1:12" x14ac:dyDescent="0.2">
      <c r="A455" s="2"/>
      <c r="B455" s="2"/>
      <c r="C455" s="2">
        <v>16</v>
      </c>
      <c r="D455" s="7"/>
      <c r="E455">
        <f t="shared" si="42"/>
        <v>73.999999999999773</v>
      </c>
      <c r="F455">
        <f t="shared" si="49"/>
        <v>1.2333333333333296</v>
      </c>
      <c r="G455">
        <f t="shared" si="44"/>
        <v>1.4389939426137124</v>
      </c>
      <c r="H455">
        <f t="shared" si="45"/>
        <v>0</v>
      </c>
      <c r="I455">
        <f t="shared" si="46"/>
        <v>67.352104787541023</v>
      </c>
      <c r="J455">
        <f t="shared" si="48"/>
        <v>2.1365240880785383</v>
      </c>
      <c r="L455">
        <f t="shared" si="47"/>
        <v>2.1365240880785383E-2</v>
      </c>
    </row>
    <row r="456" spans="1:12" x14ac:dyDescent="0.2">
      <c r="A456" s="2"/>
      <c r="B456" s="2"/>
      <c r="C456" s="2">
        <v>16</v>
      </c>
      <c r="D456" s="7"/>
      <c r="E456">
        <f t="shared" si="42"/>
        <v>74.166666666666444</v>
      </c>
      <c r="F456">
        <f t="shared" si="49"/>
        <v>1.2361111111111074</v>
      </c>
      <c r="G456">
        <f t="shared" si="44"/>
        <v>1.3980195080478226</v>
      </c>
      <c r="H456">
        <f t="shared" si="45"/>
        <v>0</v>
      </c>
      <c r="I456">
        <f t="shared" si="46"/>
        <v>67.352104787541023</v>
      </c>
      <c r="J456">
        <f t="shared" si="48"/>
        <v>2.0756879275826758</v>
      </c>
      <c r="L456">
        <f t="shared" si="47"/>
        <v>2.075687927582676E-2</v>
      </c>
    </row>
    <row r="457" spans="1:12" x14ac:dyDescent="0.2">
      <c r="A457" s="2"/>
      <c r="B457" s="2"/>
      <c r="C457" s="2">
        <v>16</v>
      </c>
      <c r="D457" s="7"/>
      <c r="E457">
        <f t="shared" si="42"/>
        <v>74.333333333333115</v>
      </c>
      <c r="F457">
        <f t="shared" si="49"/>
        <v>1.2388888888888852</v>
      </c>
      <c r="G457">
        <f t="shared" si="44"/>
        <v>1.3582117943681549</v>
      </c>
      <c r="H457">
        <f t="shared" si="45"/>
        <v>0</v>
      </c>
      <c r="I457">
        <f t="shared" si="46"/>
        <v>67.352104787541023</v>
      </c>
      <c r="J457">
        <f t="shared" si="48"/>
        <v>2.0165840379488786</v>
      </c>
      <c r="L457">
        <f t="shared" si="47"/>
        <v>2.0165840379488785E-2</v>
      </c>
    </row>
    <row r="458" spans="1:12" x14ac:dyDescent="0.2">
      <c r="A458" s="2"/>
      <c r="B458" s="2"/>
      <c r="C458" s="2">
        <v>16</v>
      </c>
      <c r="D458" s="7"/>
      <c r="E458">
        <f t="shared" si="42"/>
        <v>74.499999999999773</v>
      </c>
      <c r="F458">
        <f t="shared" si="49"/>
        <v>1.2416666666666629</v>
      </c>
      <c r="G458">
        <f t="shared" si="44"/>
        <v>1.3195375799417379</v>
      </c>
      <c r="H458">
        <f t="shared" si="45"/>
        <v>0</v>
      </c>
      <c r="I458">
        <f t="shared" si="46"/>
        <v>67.352104787541023</v>
      </c>
      <c r="J458">
        <f t="shared" si="48"/>
        <v>1.9591630938693836</v>
      </c>
      <c r="L458">
        <f t="shared" si="47"/>
        <v>1.9591630938693837E-2</v>
      </c>
    </row>
    <row r="459" spans="1:12" x14ac:dyDescent="0.2">
      <c r="A459" s="2"/>
      <c r="B459" s="2"/>
      <c r="C459" s="2">
        <v>16</v>
      </c>
      <c r="D459" s="7"/>
      <c r="E459">
        <f t="shared" si="42"/>
        <v>74.666666666666444</v>
      </c>
      <c r="F459">
        <f t="shared" si="49"/>
        <v>1.2444444444444407</v>
      </c>
      <c r="G459">
        <f t="shared" si="44"/>
        <v>1.2819645891004072</v>
      </c>
      <c r="H459">
        <f t="shared" si="45"/>
        <v>0</v>
      </c>
      <c r="I459">
        <f t="shared" si="46"/>
        <v>67.352104787541023</v>
      </c>
      <c r="J459">
        <f t="shared" si="48"/>
        <v>1.9033771745431014</v>
      </c>
      <c r="L459">
        <f t="shared" si="47"/>
        <v>1.9033771745431013E-2</v>
      </c>
    </row>
    <row r="460" spans="1:12" x14ac:dyDescent="0.2">
      <c r="A460" s="2"/>
      <c r="B460" s="2"/>
      <c r="C460" s="2">
        <v>16</v>
      </c>
      <c r="D460" s="7"/>
      <c r="E460">
        <f t="shared" ref="E460:E523" si="50">F460*60</f>
        <v>74.833333333333101</v>
      </c>
      <c r="F460">
        <f t="shared" si="49"/>
        <v>1.2472222222222185</v>
      </c>
      <c r="G460">
        <f t="shared" ref="G460:G523" si="51">Tsamp*$D460*G$3/G$5+G$8*G459</f>
        <v>1.2454614652050602</v>
      </c>
      <c r="H460">
        <f t="shared" ref="H460:H523" si="52">$D460*$G$3/$G$6</f>
        <v>0</v>
      </c>
      <c r="I460">
        <f t="shared" ref="I460:I523" si="53">Tsamp*32*$G$3/($G$5*(1-$G$8))</f>
        <v>67.352104787541023</v>
      </c>
      <c r="J460">
        <f t="shared" si="48"/>
        <v>1.8491797236831846</v>
      </c>
      <c r="L460">
        <f t="shared" ref="L460:L523" si="54">$J460/100</f>
        <v>1.8491797236831847E-2</v>
      </c>
    </row>
    <row r="461" spans="1:12" x14ac:dyDescent="0.2">
      <c r="A461" s="2"/>
      <c r="B461" s="2"/>
      <c r="C461" s="2">
        <v>16</v>
      </c>
      <c r="D461" s="7"/>
      <c r="E461">
        <f t="shared" si="50"/>
        <v>74.999999999999773</v>
      </c>
      <c r="F461">
        <f t="shared" si="49"/>
        <v>1.2499999999999962</v>
      </c>
      <c r="G461">
        <f t="shared" si="51"/>
        <v>1.2099977444768895</v>
      </c>
      <c r="H461">
        <f t="shared" si="52"/>
        <v>0</v>
      </c>
      <c r="I461">
        <f t="shared" si="53"/>
        <v>67.352104787541023</v>
      </c>
      <c r="J461">
        <f t="shared" ref="J461:J524" si="55">$G461/$I461*100</f>
        <v>1.7965255106633553</v>
      </c>
      <c r="L461">
        <f t="shared" si="54"/>
        <v>1.7965255106633552E-2</v>
      </c>
    </row>
    <row r="462" spans="1:12" x14ac:dyDescent="0.2">
      <c r="A462" s="2"/>
      <c r="B462" s="2"/>
      <c r="C462" s="2">
        <v>16</v>
      </c>
      <c r="D462" s="7"/>
      <c r="E462">
        <f t="shared" si="50"/>
        <v>75.166666666666444</v>
      </c>
      <c r="F462">
        <f t="shared" si="49"/>
        <v>1.252777777777774</v>
      </c>
      <c r="G462">
        <f t="shared" si="51"/>
        <v>1.1755438305737567</v>
      </c>
      <c r="H462">
        <f t="shared" si="52"/>
        <v>0</v>
      </c>
      <c r="I462">
        <f t="shared" si="53"/>
        <v>67.352104787541023</v>
      </c>
      <c r="J462">
        <f t="shared" si="55"/>
        <v>1.7453705927705649</v>
      </c>
      <c r="L462">
        <f t="shared" si="54"/>
        <v>1.7453705927705648E-2</v>
      </c>
    </row>
    <row r="463" spans="1:12" x14ac:dyDescent="0.2">
      <c r="A463" s="2"/>
      <c r="B463" s="2"/>
      <c r="C463" s="2">
        <v>16</v>
      </c>
      <c r="D463" s="7"/>
      <c r="E463">
        <f t="shared" si="50"/>
        <v>75.333333333333101</v>
      </c>
      <c r="F463">
        <f t="shared" si="49"/>
        <v>1.2555555555555518</v>
      </c>
      <c r="G463">
        <f t="shared" si="51"/>
        <v>1.1420709698904856</v>
      </c>
      <c r="H463">
        <f t="shared" si="52"/>
        <v>0</v>
      </c>
      <c r="I463">
        <f t="shared" si="53"/>
        <v>67.352104787541023</v>
      </c>
      <c r="J463">
        <f t="shared" si="55"/>
        <v>1.6956722785324878</v>
      </c>
      <c r="L463">
        <f t="shared" si="54"/>
        <v>1.6956722785324879E-2</v>
      </c>
    </row>
    <row r="464" spans="1:12" x14ac:dyDescent="0.2">
      <c r="A464" s="2"/>
      <c r="B464" s="2"/>
      <c r="C464" s="2">
        <v>16</v>
      </c>
      <c r="D464" s="7"/>
      <c r="E464">
        <f t="shared" si="50"/>
        <v>75.499999999999773</v>
      </c>
      <c r="F464">
        <f t="shared" si="49"/>
        <v>1.2583333333333295</v>
      </c>
      <c r="G464">
        <f t="shared" si="51"/>
        <v>1.1095512275624653</v>
      </c>
      <c r="H464">
        <f t="shared" si="52"/>
        <v>0</v>
      </c>
      <c r="I464">
        <f t="shared" si="53"/>
        <v>67.352104787541023</v>
      </c>
      <c r="J464">
        <f t="shared" si="55"/>
        <v>1.6473890920892396</v>
      </c>
      <c r="L464">
        <f t="shared" si="54"/>
        <v>1.6473890920892395E-2</v>
      </c>
    </row>
    <row r="465" spans="1:12" x14ac:dyDescent="0.2">
      <c r="A465" s="2"/>
      <c r="B465" s="2"/>
      <c r="C465" s="2">
        <v>16</v>
      </c>
      <c r="D465" s="7"/>
      <c r="E465">
        <f t="shared" si="50"/>
        <v>75.666666666666444</v>
      </c>
      <c r="F465">
        <f t="shared" si="49"/>
        <v>1.2611111111111073</v>
      </c>
      <c r="G465">
        <f t="shared" si="51"/>
        <v>1.0779574641525347</v>
      </c>
      <c r="H465">
        <f t="shared" si="52"/>
        <v>0</v>
      </c>
      <c r="I465">
        <f t="shared" si="53"/>
        <v>67.352104787541023</v>
      </c>
      <c r="J465">
        <f t="shared" si="55"/>
        <v>1.6004807385795881</v>
      </c>
      <c r="L465">
        <f t="shared" si="54"/>
        <v>1.6004807385795881E-2</v>
      </c>
    </row>
    <row r="466" spans="1:12" x14ac:dyDescent="0.2">
      <c r="A466" s="2"/>
      <c r="B466" s="2"/>
      <c r="C466" s="2">
        <v>16</v>
      </c>
      <c r="D466" s="7"/>
      <c r="E466">
        <f t="shared" si="50"/>
        <v>75.833333333333101</v>
      </c>
      <c r="F466">
        <f t="shared" si="49"/>
        <v>1.2638888888888851</v>
      </c>
      <c r="G466">
        <f t="shared" si="51"/>
        <v>1.0472633130016933</v>
      </c>
      <c r="H466">
        <f t="shared" si="52"/>
        <v>0</v>
      </c>
      <c r="I466">
        <f t="shared" si="53"/>
        <v>67.352104787541023</v>
      </c>
      <c r="J466">
        <f t="shared" si="55"/>
        <v>1.5549080705127702</v>
      </c>
      <c r="L466">
        <f t="shared" si="54"/>
        <v>1.5549080705127703E-2</v>
      </c>
    </row>
    <row r="467" spans="1:12" x14ac:dyDescent="0.2">
      <c r="A467" s="2"/>
      <c r="B467" s="2"/>
      <c r="C467" s="2">
        <v>16</v>
      </c>
      <c r="D467" s="7"/>
      <c r="E467">
        <f t="shared" si="50"/>
        <v>75.999999999999773</v>
      </c>
      <c r="F467">
        <f t="shared" si="49"/>
        <v>1.2666666666666628</v>
      </c>
      <c r="G467">
        <f t="shared" si="51"/>
        <v>1.0174431582247361</v>
      </c>
      <c r="H467">
        <f t="shared" si="52"/>
        <v>0</v>
      </c>
      <c r="I467">
        <f t="shared" si="53"/>
        <v>67.352104787541023</v>
      </c>
      <c r="J467">
        <f t="shared" si="55"/>
        <v>1.5106330550978497</v>
      </c>
      <c r="L467">
        <f t="shared" si="54"/>
        <v>1.5106330550978497E-2</v>
      </c>
    </row>
    <row r="468" spans="1:12" x14ac:dyDescent="0.2">
      <c r="A468" s="2"/>
      <c r="B468" s="2"/>
      <c r="C468" s="2">
        <v>16</v>
      </c>
      <c r="D468" s="7"/>
      <c r="E468">
        <f t="shared" si="50"/>
        <v>76.16666666666643</v>
      </c>
      <c r="F468">
        <f t="shared" si="49"/>
        <v>1.2694444444444406</v>
      </c>
      <c r="G468">
        <f t="shared" si="51"/>
        <v>0.98847211333244855</v>
      </c>
      <c r="H468">
        <f t="shared" si="52"/>
        <v>0</v>
      </c>
      <c r="I468">
        <f t="shared" si="53"/>
        <v>67.352104787541023</v>
      </c>
      <c r="J468">
        <f t="shared" si="55"/>
        <v>1.4676187425033504</v>
      </c>
      <c r="L468">
        <f t="shared" si="54"/>
        <v>1.4676187425033505E-2</v>
      </c>
    </row>
    <row r="469" spans="1:12" x14ac:dyDescent="0.2">
      <c r="A469" s="2"/>
      <c r="B469" s="2"/>
      <c r="C469" s="2">
        <v>16</v>
      </c>
      <c r="D469" s="7"/>
      <c r="E469">
        <f t="shared" si="50"/>
        <v>76.333333333333101</v>
      </c>
      <c r="F469">
        <f t="shared" si="49"/>
        <v>1.2722222222222184</v>
      </c>
      <c r="G469">
        <f t="shared" si="51"/>
        <v>0.96032600046252126</v>
      </c>
      <c r="H469">
        <f t="shared" si="52"/>
        <v>0</v>
      </c>
      <c r="I469">
        <f t="shared" si="53"/>
        <v>67.352104787541023</v>
      </c>
      <c r="J469">
        <f t="shared" si="55"/>
        <v>1.4258292350206774</v>
      </c>
      <c r="L469">
        <f t="shared" si="54"/>
        <v>1.4258292350206774E-2</v>
      </c>
    </row>
    <row r="470" spans="1:12" x14ac:dyDescent="0.2">
      <c r="A470" s="2"/>
      <c r="B470" s="2"/>
      <c r="C470" s="2">
        <v>16</v>
      </c>
      <c r="D470" s="7"/>
      <c r="E470">
        <f t="shared" si="50"/>
        <v>76.499999999999773</v>
      </c>
      <c r="F470">
        <f t="shared" si="49"/>
        <v>1.2749999999999961</v>
      </c>
      <c r="G470">
        <f t="shared" si="51"/>
        <v>0.9329813302018507</v>
      </c>
      <c r="H470">
        <f t="shared" si="52"/>
        <v>0</v>
      </c>
      <c r="I470">
        <f t="shared" si="53"/>
        <v>67.352104787541023</v>
      </c>
      <c r="J470">
        <f t="shared" si="55"/>
        <v>1.3852296571055878</v>
      </c>
      <c r="L470">
        <f t="shared" si="54"/>
        <v>1.3852296571055878E-2</v>
      </c>
    </row>
    <row r="471" spans="1:12" x14ac:dyDescent="0.2">
      <c r="A471" s="2"/>
      <c r="B471" s="2"/>
      <c r="C471" s="2">
        <v>16</v>
      </c>
      <c r="D471" s="7"/>
      <c r="E471">
        <f t="shared" si="50"/>
        <v>76.66666666666643</v>
      </c>
      <c r="F471">
        <f t="shared" si="49"/>
        <v>1.2777777777777739</v>
      </c>
      <c r="G471">
        <f t="shared" si="51"/>
        <v>0.90641528198338739</v>
      </c>
      <c r="H471">
        <f t="shared" si="52"/>
        <v>0</v>
      </c>
      <c r="I471">
        <f t="shared" si="53"/>
        <v>67.352104787541023</v>
      </c>
      <c r="J471">
        <f t="shared" si="55"/>
        <v>1.3457861262727138</v>
      </c>
      <c r="L471">
        <f t="shared" si="54"/>
        <v>1.3457861262727138E-2</v>
      </c>
    </row>
    <row r="472" spans="1:12" x14ac:dyDescent="0.2">
      <c r="A472" s="2"/>
      <c r="B472" s="2"/>
      <c r="C472" s="2">
        <v>16</v>
      </c>
      <c r="D472" s="7"/>
      <c r="E472">
        <f t="shared" si="50"/>
        <v>76.833333333333101</v>
      </c>
      <c r="F472">
        <f t="shared" si="49"/>
        <v>1.2805555555555517</v>
      </c>
      <c r="G472">
        <f t="shared" si="51"/>
        <v>0.88060568504117098</v>
      </c>
      <c r="H472">
        <f t="shared" si="52"/>
        <v>0</v>
      </c>
      <c r="I472">
        <f t="shared" si="53"/>
        <v>67.352104787541023</v>
      </c>
      <c r="J472">
        <f t="shared" si="55"/>
        <v>1.3074657248188446</v>
      </c>
      <c r="L472">
        <f t="shared" si="54"/>
        <v>1.3074657248188445E-2</v>
      </c>
    </row>
    <row r="473" spans="1:12" x14ac:dyDescent="0.2">
      <c r="A473" s="2"/>
      <c r="B473" s="2"/>
      <c r="C473" s="2">
        <v>16</v>
      </c>
      <c r="D473" s="7"/>
      <c r="E473">
        <f t="shared" si="50"/>
        <v>76.999999999999773</v>
      </c>
      <c r="F473">
        <f t="shared" si="49"/>
        <v>1.2833333333333294</v>
      </c>
      <c r="G473">
        <f t="shared" si="51"/>
        <v>0.85553099990765891</v>
      </c>
      <c r="H473">
        <f t="shared" si="52"/>
        <v>0</v>
      </c>
      <c r="I473">
        <f t="shared" si="53"/>
        <v>67.352104787541023</v>
      </c>
      <c r="J473">
        <f t="shared" si="55"/>
        <v>1.2702364723513695</v>
      </c>
      <c r="L473">
        <f t="shared" si="54"/>
        <v>1.2702364723513694E-2</v>
      </c>
    </row>
    <row r="474" spans="1:12" x14ac:dyDescent="0.2">
      <c r="A474" s="2"/>
      <c r="B474" s="2"/>
      <c r="C474" s="2">
        <v>16</v>
      </c>
      <c r="D474" s="7"/>
      <c r="E474">
        <f t="shared" si="50"/>
        <v>77.16666666666643</v>
      </c>
      <c r="F474">
        <f t="shared" si="49"/>
        <v>1.2861111111111072</v>
      </c>
      <c r="G474">
        <f t="shared" si="51"/>
        <v>0.83117030043790663</v>
      </c>
      <c r="H474">
        <f t="shared" si="52"/>
        <v>0</v>
      </c>
      <c r="I474">
        <f t="shared" si="53"/>
        <v>67.352104787541023</v>
      </c>
      <c r="J474">
        <f t="shared" si="55"/>
        <v>1.2340672990989567</v>
      </c>
      <c r="L474">
        <f t="shared" si="54"/>
        <v>1.2340672990989567E-2</v>
      </c>
    </row>
    <row r="475" spans="1:12" x14ac:dyDescent="0.2">
      <c r="A475" s="2"/>
      <c r="B475" s="2"/>
      <c r="C475" s="2">
        <v>16</v>
      </c>
      <c r="D475" s="7"/>
      <c r="E475">
        <f t="shared" si="50"/>
        <v>77.333333333333101</v>
      </c>
      <c r="F475">
        <f t="shared" si="49"/>
        <v>1.288888888888885</v>
      </c>
      <c r="G475">
        <f t="shared" si="51"/>
        <v>0.80750325634559783</v>
      </c>
      <c r="H475">
        <f t="shared" si="52"/>
        <v>0</v>
      </c>
      <c r="I475">
        <f t="shared" si="53"/>
        <v>67.352104787541023</v>
      </c>
      <c r="J475">
        <f t="shared" si="55"/>
        <v>1.1989280199821937</v>
      </c>
      <c r="L475">
        <f t="shared" si="54"/>
        <v>1.1989280199821937E-2</v>
      </c>
    </row>
    <row r="476" spans="1:12" x14ac:dyDescent="0.2">
      <c r="A476" s="2"/>
      <c r="B476" s="2"/>
      <c r="C476" s="2">
        <v>16</v>
      </c>
      <c r="D476" s="7"/>
      <c r="E476">
        <f t="shared" si="50"/>
        <v>77.499999999999758</v>
      </c>
      <c r="F476">
        <f t="shared" si="49"/>
        <v>1.2916666666666627</v>
      </c>
      <c r="G476">
        <f t="shared" si="51"/>
        <v>0.78451011623635025</v>
      </c>
      <c r="H476">
        <f t="shared" si="52"/>
        <v>0</v>
      </c>
      <c r="I476">
        <f t="shared" si="53"/>
        <v>67.352104787541023</v>
      </c>
      <c r="J476">
        <f t="shared" si="55"/>
        <v>1.1647893094225485</v>
      </c>
      <c r="L476">
        <f t="shared" si="54"/>
        <v>1.1647893094225486E-2</v>
      </c>
    </row>
    <row r="477" spans="1:12" x14ac:dyDescent="0.2">
      <c r="A477" s="2"/>
      <c r="B477" s="2"/>
      <c r="C477" s="2">
        <v>16</v>
      </c>
      <c r="D477" s="7"/>
      <c r="E477">
        <f t="shared" si="50"/>
        <v>77.66666666666643</v>
      </c>
      <c r="F477">
        <f t="shared" si="49"/>
        <v>1.2944444444444405</v>
      </c>
      <c r="G477">
        <f t="shared" si="51"/>
        <v>0.76217169112413696</v>
      </c>
      <c r="H477">
        <f t="shared" si="52"/>
        <v>0</v>
      </c>
      <c r="I477">
        <f t="shared" si="53"/>
        <v>67.352104787541023</v>
      </c>
      <c r="J477">
        <f t="shared" si="55"/>
        <v>1.1316226768686308</v>
      </c>
      <c r="L477">
        <f t="shared" si="54"/>
        <v>1.1316226768686308E-2</v>
      </c>
    </row>
    <row r="478" spans="1:12" x14ac:dyDescent="0.2">
      <c r="A478" s="2"/>
      <c r="B478" s="2"/>
      <c r="C478" s="2">
        <v>16</v>
      </c>
      <c r="D478" s="7"/>
      <c r="E478">
        <f t="shared" si="50"/>
        <v>77.833333333333101</v>
      </c>
      <c r="F478">
        <f t="shared" si="49"/>
        <v>1.2972222222222183</v>
      </c>
      <c r="G478">
        <f t="shared" si="51"/>
        <v>0.7404693384170673</v>
      </c>
      <c r="H478">
        <f t="shared" si="52"/>
        <v>0</v>
      </c>
      <c r="I478">
        <f t="shared" si="53"/>
        <v>67.352104787541023</v>
      </c>
      <c r="J478">
        <f t="shared" si="55"/>
        <v>1.0994004430193269</v>
      </c>
      <c r="L478">
        <f t="shared" si="54"/>
        <v>1.099400443019327E-2</v>
      </c>
    </row>
    <row r="479" spans="1:12" x14ac:dyDescent="0.2">
      <c r="A479" s="2"/>
      <c r="B479" s="2"/>
      <c r="C479" s="2">
        <v>16</v>
      </c>
      <c r="D479" s="7"/>
      <c r="E479">
        <f t="shared" si="50"/>
        <v>77.999999999999758</v>
      </c>
      <c r="F479">
        <f t="shared" si="49"/>
        <v>1.299999999999996</v>
      </c>
      <c r="G479">
        <f t="shared" si="51"/>
        <v>0.71938494635916239</v>
      </c>
      <c r="H479">
        <f t="shared" si="52"/>
        <v>0</v>
      </c>
      <c r="I479">
        <f t="shared" si="53"/>
        <v>67.352104787541023</v>
      </c>
      <c r="J479">
        <f t="shared" si="55"/>
        <v>1.0680957167239653</v>
      </c>
      <c r="L479">
        <f t="shared" si="54"/>
        <v>1.0680957167239652E-2</v>
      </c>
    </row>
    <row r="480" spans="1:12" x14ac:dyDescent="0.2">
      <c r="A480" s="2"/>
      <c r="B480" s="2"/>
      <c r="C480" s="2">
        <v>16</v>
      </c>
      <c r="D480" s="7"/>
      <c r="E480">
        <f t="shared" si="50"/>
        <v>78.16666666666643</v>
      </c>
      <c r="F480">
        <f t="shared" si="49"/>
        <v>1.3027777777777738</v>
      </c>
      <c r="G480">
        <f t="shared" si="51"/>
        <v>0.69890091891514117</v>
      </c>
      <c r="H480">
        <f t="shared" si="52"/>
        <v>0</v>
      </c>
      <c r="I480">
        <f t="shared" si="53"/>
        <v>67.352104787541023</v>
      </c>
      <c r="J480">
        <f t="shared" si="55"/>
        <v>1.0376823725402355</v>
      </c>
      <c r="L480">
        <f t="shared" si="54"/>
        <v>1.0376823725402355E-2</v>
      </c>
    </row>
    <row r="481" spans="1:12" x14ac:dyDescent="0.2">
      <c r="A481" s="2"/>
      <c r="B481" s="2"/>
      <c r="C481" s="2">
        <v>16</v>
      </c>
      <c r="D481" s="7"/>
      <c r="E481">
        <f t="shared" si="50"/>
        <v>78.333333333333101</v>
      </c>
      <c r="F481">
        <f t="shared" si="49"/>
        <v>1.3055555555555516</v>
      </c>
      <c r="G481">
        <f t="shared" si="51"/>
        <v>0.67900016108560246</v>
      </c>
      <c r="H481">
        <f t="shared" si="52"/>
        <v>0</v>
      </c>
      <c r="I481">
        <f t="shared" si="53"/>
        <v>67.352104787541023</v>
      </c>
      <c r="J481">
        <f t="shared" si="55"/>
        <v>1.0081350289311313</v>
      </c>
      <c r="L481">
        <f t="shared" si="54"/>
        <v>1.0081350289311312E-2</v>
      </c>
    </row>
    <row r="482" spans="1:12" x14ac:dyDescent="0.2">
      <c r="A482" s="2"/>
      <c r="B482" s="2"/>
      <c r="C482" s="2">
        <v>16</v>
      </c>
      <c r="D482" s="7"/>
      <c r="E482">
        <f t="shared" si="50"/>
        <v>78.499999999999758</v>
      </c>
      <c r="F482">
        <f t="shared" si="49"/>
        <v>1.3083333333333294</v>
      </c>
      <c r="G482">
        <f t="shared" si="51"/>
        <v>0.65966606464034794</v>
      </c>
      <c r="H482">
        <f t="shared" si="52"/>
        <v>0</v>
      </c>
      <c r="I482">
        <f t="shared" si="53"/>
        <v>67.352104787541023</v>
      </c>
      <c r="J482">
        <f t="shared" si="55"/>
        <v>0.97942902708272117</v>
      </c>
      <c r="L482">
        <f t="shared" si="54"/>
        <v>9.794290270827212E-3</v>
      </c>
    </row>
    <row r="483" spans="1:12" x14ac:dyDescent="0.2">
      <c r="A483" s="2"/>
      <c r="B483" s="2"/>
      <c r="C483" s="2">
        <v>16</v>
      </c>
      <c r="D483" s="7"/>
      <c r="E483">
        <f t="shared" si="50"/>
        <v>78.66666666666643</v>
      </c>
      <c r="F483">
        <f t="shared" si="49"/>
        <v>1.3111111111111071</v>
      </c>
      <c r="G483">
        <f t="shared" si="51"/>
        <v>0.64088249425793964</v>
      </c>
      <c r="H483">
        <f t="shared" si="52"/>
        <v>0</v>
      </c>
      <c r="I483">
        <f t="shared" si="53"/>
        <v>67.352104787541023</v>
      </c>
      <c r="J483">
        <f t="shared" si="55"/>
        <v>0.95154041032507097</v>
      </c>
      <c r="L483">
        <f t="shared" si="54"/>
        <v>9.5154041032507099E-3</v>
      </c>
    </row>
    <row r="484" spans="1:12" x14ac:dyDescent="0.2">
      <c r="A484" s="2"/>
      <c r="B484" s="2"/>
      <c r="C484" s="2">
        <v>16</v>
      </c>
      <c r="D484" s="7"/>
      <c r="E484">
        <f t="shared" si="50"/>
        <v>78.833333333333087</v>
      </c>
      <c r="F484">
        <f t="shared" si="49"/>
        <v>1.3138888888888849</v>
      </c>
      <c r="G484">
        <f t="shared" si="51"/>
        <v>0.62263377405992459</v>
      </c>
      <c r="H484">
        <f t="shared" si="52"/>
        <v>0</v>
      </c>
      <c r="I484">
        <f t="shared" si="53"/>
        <v>67.352104787541023</v>
      </c>
      <c r="J484">
        <f t="shared" si="55"/>
        <v>0.92444590413913985</v>
      </c>
      <c r="L484">
        <f t="shared" si="54"/>
        <v>9.244459041391399E-3</v>
      </c>
    </row>
    <row r="485" spans="1:12" x14ac:dyDescent="0.2">
      <c r="A485" s="2"/>
      <c r="B485" s="2"/>
      <c r="C485" s="2">
        <v>16</v>
      </c>
      <c r="D485" s="7"/>
      <c r="E485">
        <f t="shared" si="50"/>
        <v>78.999999999999758</v>
      </c>
      <c r="F485">
        <f t="shared" si="49"/>
        <v>1.3166666666666627</v>
      </c>
      <c r="G485">
        <f t="shared" si="51"/>
        <v>0.60490467452848906</v>
      </c>
      <c r="H485">
        <f t="shared" si="52"/>
        <v>0</v>
      </c>
      <c r="I485">
        <f t="shared" si="53"/>
        <v>67.352104787541023</v>
      </c>
      <c r="J485">
        <f t="shared" si="55"/>
        <v>0.8981228967329703</v>
      </c>
      <c r="L485">
        <f t="shared" si="54"/>
        <v>8.9812289673297033E-3</v>
      </c>
    </row>
    <row r="486" spans="1:12" x14ac:dyDescent="0.2">
      <c r="A486" s="2"/>
      <c r="B486" s="2"/>
      <c r="C486" s="2">
        <v>16</v>
      </c>
      <c r="D486" s="7"/>
      <c r="E486">
        <f t="shared" si="50"/>
        <v>79.16666666666643</v>
      </c>
      <c r="F486">
        <f t="shared" si="49"/>
        <v>1.3194444444444404</v>
      </c>
      <c r="G486">
        <f t="shared" si="51"/>
        <v>0.5876803997966239</v>
      </c>
      <c r="H486">
        <f t="shared" si="52"/>
        <v>0</v>
      </c>
      <c r="I486">
        <f t="shared" si="53"/>
        <v>67.352104787541023</v>
      </c>
      <c r="J486">
        <f t="shared" si="55"/>
        <v>0.87254942017095605</v>
      </c>
      <c r="L486">
        <f t="shared" si="54"/>
        <v>8.7254942017095608E-3</v>
      </c>
    </row>
    <row r="487" spans="1:12" x14ac:dyDescent="0.2">
      <c r="A487" s="2"/>
      <c r="B487" s="2"/>
      <c r="C487" s="2">
        <v>16</v>
      </c>
      <c r="D487" s="7"/>
      <c r="E487">
        <f t="shared" si="50"/>
        <v>79.333333333333087</v>
      </c>
      <c r="F487">
        <f t="shared" si="49"/>
        <v>1.3222222222222182</v>
      </c>
      <c r="G487">
        <f t="shared" si="51"/>
        <v>0.57094657530019466</v>
      </c>
      <c r="H487">
        <f t="shared" si="52"/>
        <v>0</v>
      </c>
      <c r="I487">
        <f t="shared" si="53"/>
        <v>67.352104787541023</v>
      </c>
      <c r="J487">
        <f t="shared" si="55"/>
        <v>0.84770413204044348</v>
      </c>
      <c r="L487">
        <f t="shared" si="54"/>
        <v>8.477041320404435E-3</v>
      </c>
    </row>
    <row r="488" spans="1:12" x14ac:dyDescent="0.2">
      <c r="A488" s="2"/>
      <c r="B488" s="2"/>
      <c r="C488" s="2">
        <v>16</v>
      </c>
      <c r="D488" s="7"/>
      <c r="E488">
        <f t="shared" si="50"/>
        <v>79.499999999999758</v>
      </c>
      <c r="F488">
        <f t="shared" si="49"/>
        <v>1.324999999999996</v>
      </c>
      <c r="G488">
        <f t="shared" si="51"/>
        <v>0.55468923578161078</v>
      </c>
      <c r="H488">
        <f t="shared" si="52"/>
        <v>0</v>
      </c>
      <c r="I488">
        <f t="shared" si="53"/>
        <v>67.352104787541023</v>
      </c>
      <c r="J488">
        <f t="shared" si="55"/>
        <v>0.82356629764036515</v>
      </c>
      <c r="L488">
        <f t="shared" si="54"/>
        <v>8.2356629764036519E-3</v>
      </c>
    </row>
    <row r="489" spans="1:12" x14ac:dyDescent="0.2">
      <c r="A489" s="2"/>
      <c r="B489" s="2"/>
      <c r="C489" s="2">
        <v>16</v>
      </c>
      <c r="D489" s="7"/>
      <c r="E489">
        <f t="shared" si="50"/>
        <v>79.66666666666643</v>
      </c>
      <c r="F489">
        <f t="shared" si="49"/>
        <v>1.3277777777777737</v>
      </c>
      <c r="G489">
        <f t="shared" si="51"/>
        <v>0.53889481363508318</v>
      </c>
      <c r="H489">
        <f t="shared" si="52"/>
        <v>0</v>
      </c>
      <c r="I489">
        <f t="shared" si="53"/>
        <v>67.352104787541023</v>
      </c>
      <c r="J489">
        <f t="shared" si="55"/>
        <v>0.80011577267703959</v>
      </c>
      <c r="L489">
        <f t="shared" si="54"/>
        <v>8.0011577267703957E-3</v>
      </c>
    </row>
    <row r="490" spans="1:12" x14ac:dyDescent="0.2">
      <c r="A490" s="2"/>
      <c r="B490" s="2"/>
      <c r="C490" s="2">
        <v>16</v>
      </c>
      <c r="D490" s="7"/>
      <c r="E490">
        <f t="shared" si="50"/>
        <v>79.833333333333087</v>
      </c>
      <c r="F490">
        <f t="shared" si="49"/>
        <v>1.3305555555555515</v>
      </c>
      <c r="G490">
        <f t="shared" si="51"/>
        <v>0.52355012758374264</v>
      </c>
      <c r="H490">
        <f t="shared" si="52"/>
        <v>0</v>
      </c>
      <c r="I490">
        <f t="shared" si="53"/>
        <v>67.352104787541023</v>
      </c>
      <c r="J490">
        <f t="shared" si="55"/>
        <v>0.77733298645269711</v>
      </c>
      <c r="L490">
        <f t="shared" si="54"/>
        <v>7.7733298645269707E-3</v>
      </c>
    </row>
    <row r="491" spans="1:12" x14ac:dyDescent="0.2">
      <c r="A491" s="2"/>
      <c r="B491" s="2"/>
      <c r="C491" s="2">
        <v>16</v>
      </c>
      <c r="D491" s="7"/>
      <c r="E491">
        <f t="shared" si="50"/>
        <v>79.999999999999758</v>
      </c>
      <c r="F491">
        <f t="shared" si="49"/>
        <v>1.3333333333333293</v>
      </c>
      <c r="G491">
        <f t="shared" si="51"/>
        <v>0.50864237167917037</v>
      </c>
      <c r="H491">
        <f t="shared" si="52"/>
        <v>0</v>
      </c>
      <c r="I491">
        <f t="shared" si="53"/>
        <v>67.352104787541023</v>
      </c>
      <c r="J491">
        <f t="shared" si="55"/>
        <v>0.75519892553270351</v>
      </c>
      <c r="L491">
        <f t="shared" si="54"/>
        <v>7.551989255327035E-3</v>
      </c>
    </row>
    <row r="492" spans="1:12" x14ac:dyDescent="0.2">
      <c r="A492" s="2"/>
      <c r="B492" s="2"/>
      <c r="C492" s="2">
        <v>8</v>
      </c>
      <c r="D492" s="7"/>
      <c r="E492">
        <f t="shared" si="50"/>
        <v>80.166666666666416</v>
      </c>
      <c r="F492">
        <f t="shared" si="49"/>
        <v>1.336111111111107</v>
      </c>
      <c r="G492">
        <f t="shared" si="51"/>
        <v>0.49415910461415963</v>
      </c>
      <c r="H492">
        <f t="shared" si="52"/>
        <v>0</v>
      </c>
      <c r="I492">
        <f t="shared" si="53"/>
        <v>67.352104787541023</v>
      </c>
      <c r="J492">
        <f t="shared" si="55"/>
        <v>0.73369511787784625</v>
      </c>
      <c r="L492">
        <f t="shared" si="54"/>
        <v>7.3369511787784621E-3</v>
      </c>
    </row>
    <row r="493" spans="1:12" x14ac:dyDescent="0.2">
      <c r="A493" s="2"/>
      <c r="B493" s="2"/>
      <c r="C493" s="2">
        <v>8</v>
      </c>
      <c r="D493" s="7"/>
      <c r="E493">
        <f t="shared" si="50"/>
        <v>80.333333333333087</v>
      </c>
      <c r="F493">
        <f t="shared" si="49"/>
        <v>1.3388888888888848</v>
      </c>
      <c r="G493">
        <f t="shared" si="51"/>
        <v>0.48008823933978995</v>
      </c>
      <c r="H493">
        <f t="shared" si="52"/>
        <v>0</v>
      </c>
      <c r="I493">
        <f t="shared" si="53"/>
        <v>67.352104787541023</v>
      </c>
      <c r="J493">
        <f t="shared" si="55"/>
        <v>0.71280361742844589</v>
      </c>
      <c r="L493">
        <f t="shared" si="54"/>
        <v>7.1280361742844592E-3</v>
      </c>
    </row>
    <row r="494" spans="1:12" x14ac:dyDescent="0.2">
      <c r="A494" s="2"/>
      <c r="B494" s="2"/>
      <c r="C494" s="2">
        <v>8</v>
      </c>
      <c r="D494" s="7"/>
      <c r="E494">
        <f t="shared" si="50"/>
        <v>80.499999999999758</v>
      </c>
      <c r="F494">
        <f t="shared" si="49"/>
        <v>1.3416666666666626</v>
      </c>
      <c r="G494">
        <f t="shared" si="51"/>
        <v>0.46641803297814849</v>
      </c>
      <c r="H494">
        <f t="shared" si="52"/>
        <v>0</v>
      </c>
      <c r="I494">
        <f t="shared" si="53"/>
        <v>67.352104787541023</v>
      </c>
      <c r="J494">
        <f t="shared" si="55"/>
        <v>0.69250698912742481</v>
      </c>
      <c r="L494">
        <f t="shared" si="54"/>
        <v>6.9250698912742478E-3</v>
      </c>
    </row>
    <row r="495" spans="1:12" x14ac:dyDescent="0.2">
      <c r="A495" s="2"/>
      <c r="B495" s="2"/>
      <c r="C495" s="2">
        <v>8</v>
      </c>
      <c r="D495" s="7"/>
      <c r="E495">
        <f t="shared" si="50"/>
        <v>80.666666666666416</v>
      </c>
      <c r="F495">
        <f t="shared" si="49"/>
        <v>1.3444444444444403</v>
      </c>
      <c r="G495">
        <f t="shared" si="51"/>
        <v>0.45313707702228007</v>
      </c>
      <c r="H495">
        <f t="shared" si="52"/>
        <v>0</v>
      </c>
      <c r="I495">
        <f t="shared" si="53"/>
        <v>67.352104787541023</v>
      </c>
      <c r="J495">
        <f t="shared" si="55"/>
        <v>0.67278829436983323</v>
      </c>
      <c r="L495">
        <f t="shared" si="54"/>
        <v>6.7278829436983323E-3</v>
      </c>
    </row>
    <row r="496" spans="1:12" x14ac:dyDescent="0.2">
      <c r="A496" s="2"/>
      <c r="B496" s="2"/>
      <c r="C496" s="2">
        <v>8</v>
      </c>
      <c r="D496" s="7"/>
      <c r="E496">
        <f t="shared" si="50"/>
        <v>80.833333333333087</v>
      </c>
      <c r="F496">
        <f t="shared" si="49"/>
        <v>1.3472222222222181</v>
      </c>
      <c r="G496">
        <f t="shared" si="51"/>
        <v>0.44023428781518736</v>
      </c>
      <c r="H496">
        <f t="shared" si="52"/>
        <v>0</v>
      </c>
      <c r="I496">
        <f t="shared" si="53"/>
        <v>67.352104787541023</v>
      </c>
      <c r="J496">
        <f t="shared" si="55"/>
        <v>0.65363107686669231</v>
      </c>
      <c r="L496">
        <f t="shared" si="54"/>
        <v>6.5363107686669227E-3</v>
      </c>
    </row>
    <row r="497" spans="1:12" x14ac:dyDescent="0.2">
      <c r="A497" s="2"/>
      <c r="B497" s="2"/>
      <c r="C497" s="2">
        <v>8</v>
      </c>
      <c r="D497" s="7"/>
      <c r="E497">
        <f t="shared" si="50"/>
        <v>80.999999999999758</v>
      </c>
      <c r="F497">
        <f t="shared" ref="F497:F560" si="56">Tsamp+F496</f>
        <v>1.3499999999999959</v>
      </c>
      <c r="G497">
        <f t="shared" si="51"/>
        <v>0.42769889729993571</v>
      </c>
      <c r="H497">
        <f t="shared" si="52"/>
        <v>0</v>
      </c>
      <c r="I497">
        <f t="shared" si="53"/>
        <v>67.352104787541023</v>
      </c>
      <c r="J497">
        <f t="shared" si="55"/>
        <v>0.6350193489113537</v>
      </c>
      <c r="L497">
        <f t="shared" si="54"/>
        <v>6.3501934891135366E-3</v>
      </c>
    </row>
    <row r="498" spans="1:12" x14ac:dyDescent="0.2">
      <c r="A498" s="2"/>
      <c r="B498" s="2"/>
      <c r="C498" s="2">
        <v>8</v>
      </c>
      <c r="D498" s="7"/>
      <c r="E498">
        <f t="shared" si="50"/>
        <v>81.166666666666416</v>
      </c>
      <c r="F498">
        <f t="shared" si="56"/>
        <v>1.3527777777777736</v>
      </c>
      <c r="G498">
        <f t="shared" si="51"/>
        <v>0.41552044403314264</v>
      </c>
      <c r="H498">
        <f t="shared" si="52"/>
        <v>0</v>
      </c>
      <c r="I498">
        <f t="shared" si="53"/>
        <v>67.352104787541023</v>
      </c>
      <c r="J498">
        <f t="shared" si="55"/>
        <v>0.61693757803691796</v>
      </c>
      <c r="L498">
        <f t="shared" si="54"/>
        <v>6.1693757803691794E-3</v>
      </c>
    </row>
    <row r="499" spans="1:12" x14ac:dyDescent="0.2">
      <c r="A499" s="2"/>
      <c r="B499" s="2"/>
      <c r="C499" s="2">
        <v>8</v>
      </c>
      <c r="D499" s="7"/>
      <c r="E499">
        <f t="shared" si="50"/>
        <v>81.333333333333087</v>
      </c>
      <c r="F499">
        <f t="shared" si="56"/>
        <v>1.3555555555555514</v>
      </c>
      <c r="G499">
        <f t="shared" si="51"/>
        <v>0.40368876445435242</v>
      </c>
      <c r="H499">
        <f t="shared" si="52"/>
        <v>0</v>
      </c>
      <c r="I499">
        <f t="shared" si="53"/>
        <v>67.352104787541023</v>
      </c>
      <c r="J499">
        <f t="shared" si="55"/>
        <v>0.59937067405357147</v>
      </c>
      <c r="L499">
        <f t="shared" si="54"/>
        <v>5.9937067405357149E-3</v>
      </c>
    </row>
    <row r="500" spans="1:12" x14ac:dyDescent="0.2">
      <c r="A500" s="2"/>
      <c r="B500" s="2"/>
      <c r="C500" s="2">
        <v>8</v>
      </c>
      <c r="D500" s="7"/>
      <c r="E500">
        <f t="shared" si="50"/>
        <v>81.499999999999744</v>
      </c>
      <c r="F500">
        <f t="shared" si="56"/>
        <v>1.3583333333333292</v>
      </c>
      <c r="G500">
        <f t="shared" si="51"/>
        <v>0.39219398440400993</v>
      </c>
      <c r="H500">
        <f t="shared" si="52"/>
        <v>0</v>
      </c>
      <c r="I500">
        <f t="shared" si="53"/>
        <v>67.352104787541023</v>
      </c>
      <c r="J500">
        <f t="shared" si="55"/>
        <v>0.58230397645502985</v>
      </c>
      <c r="L500">
        <f t="shared" si="54"/>
        <v>5.8230397645502984E-3</v>
      </c>
    </row>
    <row r="501" spans="1:12" x14ac:dyDescent="0.2">
      <c r="A501" s="2"/>
      <c r="B501" s="2"/>
      <c r="C501" s="2">
        <v>8</v>
      </c>
      <c r="D501" s="7"/>
      <c r="E501">
        <f t="shared" si="50"/>
        <v>81.666666666666416</v>
      </c>
      <c r="F501">
        <f t="shared" si="56"/>
        <v>1.3611111111111069</v>
      </c>
      <c r="G501">
        <f t="shared" si="51"/>
        <v>0.38102651088295458</v>
      </c>
      <c r="H501">
        <f t="shared" si="52"/>
        <v>0</v>
      </c>
      <c r="I501">
        <f t="shared" si="53"/>
        <v>67.352104787541023</v>
      </c>
      <c r="J501">
        <f t="shared" si="55"/>
        <v>0.56572324218357306</v>
      </c>
      <c r="L501">
        <f t="shared" si="54"/>
        <v>5.6572324218357303E-3</v>
      </c>
    </row>
    <row r="502" spans="1:12" x14ac:dyDescent="0.2">
      <c r="A502" s="2"/>
      <c r="B502" s="2"/>
      <c r="C502" s="2">
        <v>8</v>
      </c>
      <c r="D502" s="7"/>
      <c r="E502">
        <f t="shared" si="50"/>
        <v>81.833333333333087</v>
      </c>
      <c r="F502">
        <f t="shared" si="56"/>
        <v>1.3638888888888847</v>
      </c>
      <c r="G502">
        <f t="shared" si="51"/>
        <v>0.37017702404655728</v>
      </c>
      <c r="H502">
        <f t="shared" si="52"/>
        <v>0</v>
      </c>
      <c r="I502">
        <f t="shared" si="53"/>
        <v>67.352104787541023</v>
      </c>
      <c r="J502">
        <f t="shared" si="55"/>
        <v>0.54961463374346342</v>
      </c>
      <c r="L502">
        <f t="shared" si="54"/>
        <v>5.4961463374346344E-3</v>
      </c>
    </row>
    <row r="503" spans="1:12" x14ac:dyDescent="0.2">
      <c r="A503" s="2"/>
      <c r="B503" s="2"/>
      <c r="C503" s="2">
        <v>8</v>
      </c>
      <c r="D503" s="7"/>
      <c r="E503">
        <f t="shared" si="50"/>
        <v>81.999999999999744</v>
      </c>
      <c r="F503">
        <f t="shared" si="56"/>
        <v>1.3666666666666625</v>
      </c>
      <c r="G503">
        <f t="shared" si="51"/>
        <v>0.35963646942681965</v>
      </c>
      <c r="H503">
        <f t="shared" si="52"/>
        <v>0</v>
      </c>
      <c r="I503">
        <f t="shared" si="53"/>
        <v>67.352104787541023</v>
      </c>
      <c r="J503">
        <f t="shared" si="55"/>
        <v>0.53396470765282777</v>
      </c>
      <c r="L503">
        <f t="shared" si="54"/>
        <v>5.339647076528278E-3</v>
      </c>
    </row>
    <row r="504" spans="1:12" x14ac:dyDescent="0.2">
      <c r="A504" s="2"/>
      <c r="B504" s="2"/>
      <c r="C504" s="2">
        <v>8</v>
      </c>
      <c r="D504" s="7"/>
      <c r="E504">
        <f t="shared" si="50"/>
        <v>82.166666666666416</v>
      </c>
      <c r="F504">
        <f t="shared" si="56"/>
        <v>1.3694444444444402</v>
      </c>
      <c r="G504">
        <f t="shared" si="51"/>
        <v>0.34939605037594351</v>
      </c>
      <c r="H504">
        <f t="shared" si="52"/>
        <v>0</v>
      </c>
      <c r="I504">
        <f t="shared" si="53"/>
        <v>67.352104787541023</v>
      </c>
      <c r="J504">
        <f t="shared" si="55"/>
        <v>0.51876040322436334</v>
      </c>
      <c r="L504">
        <f t="shared" si="54"/>
        <v>5.1876040322436333E-3</v>
      </c>
    </row>
    <row r="505" spans="1:12" x14ac:dyDescent="0.2">
      <c r="A505" s="2"/>
      <c r="B505" s="2"/>
      <c r="C505" s="2">
        <v>8</v>
      </c>
      <c r="D505" s="7"/>
      <c r="E505">
        <f t="shared" si="50"/>
        <v>82.333333333333087</v>
      </c>
      <c r="F505">
        <f t="shared" si="56"/>
        <v>1.372222222222218</v>
      </c>
      <c r="G505">
        <f t="shared" si="51"/>
        <v>0.33944722072506534</v>
      </c>
      <c r="H505">
        <f t="shared" si="52"/>
        <v>0</v>
      </c>
      <c r="I505">
        <f t="shared" si="53"/>
        <v>67.352104787541023</v>
      </c>
      <c r="J505">
        <f t="shared" si="55"/>
        <v>0.50398903166550657</v>
      </c>
      <c r="L505">
        <f t="shared" si="54"/>
        <v>5.0398903166550659E-3</v>
      </c>
    </row>
    <row r="506" spans="1:12" x14ac:dyDescent="0.2">
      <c r="A506" s="2"/>
      <c r="B506" s="2"/>
      <c r="C506" s="2">
        <v>8</v>
      </c>
      <c r="D506" s="7"/>
      <c r="E506">
        <f t="shared" si="50"/>
        <v>82.499999999999744</v>
      </c>
      <c r="F506">
        <f t="shared" si="56"/>
        <v>1.3749999999999958</v>
      </c>
      <c r="G506">
        <f t="shared" si="51"/>
        <v>0.3297816776520282</v>
      </c>
      <c r="H506">
        <f t="shared" si="52"/>
        <v>0</v>
      </c>
      <c r="I506">
        <f t="shared" si="53"/>
        <v>67.352104787541023</v>
      </c>
      <c r="J506">
        <f t="shared" si="55"/>
        <v>0.48963826548896827</v>
      </c>
      <c r="L506">
        <f t="shared" si="54"/>
        <v>4.8963826548896828E-3</v>
      </c>
    </row>
    <row r="507" spans="1:12" x14ac:dyDescent="0.2">
      <c r="A507" s="2"/>
      <c r="B507" s="2"/>
      <c r="C507" s="2">
        <v>8</v>
      </c>
      <c r="D507" s="7"/>
      <c r="E507">
        <f t="shared" si="50"/>
        <v>82.666666666666416</v>
      </c>
      <c r="F507">
        <f t="shared" si="56"/>
        <v>1.3777777777777735</v>
      </c>
      <c r="G507">
        <f t="shared" si="51"/>
        <v>0.32039135475223979</v>
      </c>
      <c r="H507">
        <f t="shared" si="52"/>
        <v>0</v>
      </c>
      <c r="I507">
        <f t="shared" si="53"/>
        <v>67.352104787541023</v>
      </c>
      <c r="J507">
        <f t="shared" si="55"/>
        <v>0.47569612822479557</v>
      </c>
      <c r="L507">
        <f t="shared" si="54"/>
        <v>4.7569612822479556E-3</v>
      </c>
    </row>
    <row r="508" spans="1:12" x14ac:dyDescent="0.2">
      <c r="A508" s="2"/>
      <c r="B508" s="2"/>
      <c r="C508" s="2">
        <v>8</v>
      </c>
      <c r="D508" s="7"/>
      <c r="E508">
        <f t="shared" si="50"/>
        <v>82.833333333333073</v>
      </c>
      <c r="F508">
        <f t="shared" si="56"/>
        <v>1.3805555555555513</v>
      </c>
      <c r="G508">
        <f t="shared" si="51"/>
        <v>0.31126841530683275</v>
      </c>
      <c r="H508">
        <f t="shared" si="52"/>
        <v>0</v>
      </c>
      <c r="I508">
        <f t="shared" si="53"/>
        <v>67.352104787541023</v>
      </c>
      <c r="J508">
        <f t="shared" si="55"/>
        <v>0.46215098442537766</v>
      </c>
      <c r="L508">
        <f t="shared" si="54"/>
        <v>4.6215098442537765E-3</v>
      </c>
    </row>
    <row r="509" spans="1:12" x14ac:dyDescent="0.2">
      <c r="A509" s="2"/>
      <c r="B509" s="2"/>
      <c r="C509" s="2">
        <v>8</v>
      </c>
      <c r="D509" s="7"/>
      <c r="E509">
        <f t="shared" si="50"/>
        <v>82.999999999999744</v>
      </c>
      <c r="F509">
        <f t="shared" si="56"/>
        <v>1.3833333333333291</v>
      </c>
      <c r="G509">
        <f t="shared" si="51"/>
        <v>0.30240524574251043</v>
      </c>
      <c r="H509">
        <f t="shared" si="52"/>
        <v>0</v>
      </c>
      <c r="I509">
        <f t="shared" si="53"/>
        <v>67.352104787541023</v>
      </c>
      <c r="J509">
        <f t="shared" si="55"/>
        <v>0.4489915299550522</v>
      </c>
      <c r="L509">
        <f t="shared" si="54"/>
        <v>4.4899152995505221E-3</v>
      </c>
    </row>
    <row r="510" spans="1:12" x14ac:dyDescent="0.2">
      <c r="A510" s="2"/>
      <c r="B510" s="2"/>
      <c r="C510" s="2">
        <v>8</v>
      </c>
      <c r="D510" s="7"/>
      <c r="E510">
        <f t="shared" si="50"/>
        <v>83.166666666666416</v>
      </c>
      <c r="F510">
        <f t="shared" si="56"/>
        <v>1.3861111111111069</v>
      </c>
      <c r="G510">
        <f t="shared" si="51"/>
        <v>0.293794449277619</v>
      </c>
      <c r="H510">
        <f t="shared" si="52"/>
        <v>0</v>
      </c>
      <c r="I510">
        <f t="shared" si="53"/>
        <v>67.352104787541023</v>
      </c>
      <c r="J510">
        <f t="shared" si="55"/>
        <v>0.43620678255620882</v>
      </c>
      <c r="L510">
        <f t="shared" si="54"/>
        <v>4.3620678255620882E-3</v>
      </c>
    </row>
    <row r="511" spans="1:12" x14ac:dyDescent="0.2">
      <c r="A511" s="2"/>
      <c r="B511" s="2"/>
      <c r="C511" s="2">
        <v>8</v>
      </c>
      <c r="D511" s="7"/>
      <c r="E511">
        <f t="shared" si="50"/>
        <v>83.333333333333073</v>
      </c>
      <c r="F511">
        <f t="shared" si="56"/>
        <v>1.3888888888888846</v>
      </c>
      <c r="G511">
        <f t="shared" si="51"/>
        <v>0.28542883974914374</v>
      </c>
      <c r="H511">
        <f t="shared" si="52"/>
        <v>0</v>
      </c>
      <c r="I511">
        <f t="shared" si="53"/>
        <v>67.352104787541023</v>
      </c>
      <c r="J511">
        <f t="shared" si="55"/>
        <v>0.42378607268401675</v>
      </c>
      <c r="L511">
        <f t="shared" si="54"/>
        <v>4.2378607268401675E-3</v>
      </c>
    </row>
    <row r="512" spans="1:12" x14ac:dyDescent="0.2">
      <c r="A512" s="2"/>
      <c r="B512" s="2"/>
      <c r="C512" s="2">
        <v>8</v>
      </c>
      <c r="D512" s="7"/>
      <c r="E512">
        <f t="shared" si="50"/>
        <v>83.499999999999744</v>
      </c>
      <c r="F512">
        <f t="shared" si="56"/>
        <v>1.3916666666666624</v>
      </c>
      <c r="G512">
        <f t="shared" si="51"/>
        <v>0.27730143561547765</v>
      </c>
      <c r="H512">
        <f t="shared" si="52"/>
        <v>0</v>
      </c>
      <c r="I512">
        <f t="shared" si="53"/>
        <v>67.352104787541023</v>
      </c>
      <c r="J512">
        <f t="shared" si="55"/>
        <v>0.41171903460212816</v>
      </c>
      <c r="L512">
        <f t="shared" si="54"/>
        <v>4.1171903460212817E-3</v>
      </c>
    </row>
    <row r="513" spans="1:12" x14ac:dyDescent="0.2">
      <c r="A513" s="2"/>
      <c r="B513" s="2"/>
      <c r="C513" s="2">
        <v>8</v>
      </c>
      <c r="D513" s="7"/>
      <c r="E513">
        <f t="shared" si="50"/>
        <v>83.666666666666416</v>
      </c>
      <c r="F513">
        <f t="shared" si="56"/>
        <v>1.3944444444444402</v>
      </c>
      <c r="G513">
        <f t="shared" si="51"/>
        <v>0.26940545412995737</v>
      </c>
      <c r="H513">
        <f t="shared" si="52"/>
        <v>0</v>
      </c>
      <c r="I513">
        <f t="shared" si="53"/>
        <v>67.352104787541023</v>
      </c>
      <c r="J513">
        <f t="shared" si="55"/>
        <v>0.39999559773192528</v>
      </c>
      <c r="L513">
        <f t="shared" si="54"/>
        <v>3.9999559773192528E-3</v>
      </c>
    </row>
    <row r="514" spans="1:12" x14ac:dyDescent="0.2">
      <c r="A514" s="2"/>
      <c r="B514" s="2"/>
      <c r="C514" s="2">
        <v>8</v>
      </c>
      <c r="D514" s="7"/>
      <c r="E514">
        <f t="shared" si="50"/>
        <v>83.833333333333073</v>
      </c>
      <c r="F514">
        <f t="shared" si="56"/>
        <v>1.3972222222222179</v>
      </c>
      <c r="G514">
        <f t="shared" si="51"/>
        <v>0.26173430568030398</v>
      </c>
      <c r="H514">
        <f t="shared" si="52"/>
        <v>0</v>
      </c>
      <c r="I514">
        <f t="shared" si="53"/>
        <v>67.352104787541023</v>
      </c>
      <c r="J514">
        <f t="shared" si="55"/>
        <v>0.38860597824809229</v>
      </c>
      <c r="L514">
        <f t="shared" si="54"/>
        <v>3.8860597824809228E-3</v>
      </c>
    </row>
    <row r="515" spans="1:12" x14ac:dyDescent="0.2">
      <c r="A515" s="2"/>
      <c r="B515" s="2"/>
      <c r="C515" s="2">
        <v>8</v>
      </c>
      <c r="D515" s="7"/>
      <c r="E515">
        <f t="shared" si="50"/>
        <v>83.999999999999744</v>
      </c>
      <c r="F515">
        <f t="shared" si="56"/>
        <v>1.3999999999999957</v>
      </c>
      <c r="G515">
        <f t="shared" si="51"/>
        <v>0.25428158828924469</v>
      </c>
      <c r="H515">
        <f t="shared" si="52"/>
        <v>0</v>
      </c>
      <c r="I515">
        <f t="shared" si="53"/>
        <v>67.352104787541023</v>
      </c>
      <c r="J515">
        <f t="shared" si="55"/>
        <v>0.37754067091349813</v>
      </c>
      <c r="L515">
        <f t="shared" si="54"/>
        <v>3.7754067091349815E-3</v>
      </c>
    </row>
    <row r="516" spans="1:12" x14ac:dyDescent="0.2">
      <c r="A516" s="2"/>
      <c r="B516" s="2"/>
      <c r="C516" s="2">
        <v>8</v>
      </c>
      <c r="D516" s="7"/>
      <c r="E516">
        <f t="shared" si="50"/>
        <v>84.166666666666401</v>
      </c>
      <c r="F516">
        <f t="shared" si="56"/>
        <v>1.4027777777777735</v>
      </c>
      <c r="G516">
        <f t="shared" si="51"/>
        <v>0.24704108227172555</v>
      </c>
      <c r="H516">
        <f t="shared" si="52"/>
        <v>0</v>
      </c>
      <c r="I516">
        <f t="shared" si="53"/>
        <v>67.352104787541023</v>
      </c>
      <c r="J516">
        <f t="shared" si="55"/>
        <v>0.36679044114657555</v>
      </c>
      <c r="L516">
        <f t="shared" si="54"/>
        <v>3.6679044114657556E-3</v>
      </c>
    </row>
    <row r="517" spans="1:12" x14ac:dyDescent="0.2">
      <c r="A517" s="2"/>
      <c r="B517" s="2"/>
      <c r="C517" s="2">
        <v>8</v>
      </c>
      <c r="D517" s="7"/>
      <c r="E517">
        <f t="shared" si="50"/>
        <v>84.333333333333073</v>
      </c>
      <c r="F517">
        <f t="shared" si="56"/>
        <v>1.4055555555555512</v>
      </c>
      <c r="G517">
        <f t="shared" si="51"/>
        <v>0.24000674504425698</v>
      </c>
      <c r="H517">
        <f t="shared" si="52"/>
        <v>0</v>
      </c>
      <c r="I517">
        <f t="shared" si="53"/>
        <v>67.352104787541023</v>
      </c>
      <c r="J517">
        <f t="shared" si="55"/>
        <v>0.35634631731457644</v>
      </c>
      <c r="L517">
        <f t="shared" si="54"/>
        <v>3.5634631731457644E-3</v>
      </c>
    </row>
    <row r="518" spans="1:12" x14ac:dyDescent="0.2">
      <c r="A518" s="2"/>
      <c r="B518" s="2"/>
      <c r="C518" s="2">
        <v>8</v>
      </c>
      <c r="D518" s="7"/>
      <c r="E518">
        <f t="shared" si="50"/>
        <v>84.499999999999744</v>
      </c>
      <c r="F518">
        <f t="shared" si="56"/>
        <v>1.408333333333329</v>
      </c>
      <c r="G518">
        <f t="shared" si="51"/>
        <v>0.23317270608205962</v>
      </c>
      <c r="H518">
        <f t="shared" si="52"/>
        <v>0</v>
      </c>
      <c r="I518">
        <f t="shared" si="53"/>
        <v>67.352104787541023</v>
      </c>
      <c r="J518">
        <f t="shared" si="55"/>
        <v>0.34619958324627226</v>
      </c>
      <c r="L518">
        <f t="shared" si="54"/>
        <v>3.4619958324627227E-3</v>
      </c>
    </row>
    <row r="519" spans="1:12" x14ac:dyDescent="0.2">
      <c r="A519" s="2"/>
      <c r="B519" s="2"/>
      <c r="C519" s="2">
        <v>8</v>
      </c>
      <c r="D519" s="7"/>
      <c r="E519">
        <f t="shared" si="50"/>
        <v>84.666666666666401</v>
      </c>
      <c r="F519">
        <f t="shared" si="56"/>
        <v>1.4111111111111068</v>
      </c>
      <c r="G519">
        <f t="shared" si="51"/>
        <v>0.22653326201980234</v>
      </c>
      <c r="H519">
        <f t="shared" si="52"/>
        <v>0</v>
      </c>
      <c r="I519">
        <f t="shared" si="53"/>
        <v>67.352104787541023</v>
      </c>
      <c r="J519">
        <f t="shared" si="55"/>
        <v>0.33634177095784995</v>
      </c>
      <c r="L519">
        <f t="shared" si="54"/>
        <v>3.3634177095784993E-3</v>
      </c>
    </row>
    <row r="520" spans="1:12" x14ac:dyDescent="0.2">
      <c r="A520" s="2"/>
      <c r="B520" s="2"/>
      <c r="C520" s="2">
        <v>8</v>
      </c>
      <c r="D520" s="7"/>
      <c r="E520">
        <f t="shared" si="50"/>
        <v>84.833333333333073</v>
      </c>
      <c r="F520">
        <f t="shared" si="56"/>
        <v>1.4138888888888845</v>
      </c>
      <c r="G520">
        <f t="shared" si="51"/>
        <v>0.22008287189184358</v>
      </c>
      <c r="H520">
        <f t="shared" si="52"/>
        <v>0</v>
      </c>
      <c r="I520">
        <f t="shared" si="53"/>
        <v>67.352104787541023</v>
      </c>
      <c r="J520">
        <f t="shared" si="55"/>
        <v>0.32676465358593387</v>
      </c>
      <c r="L520">
        <f t="shared" si="54"/>
        <v>3.2676465358593386E-3</v>
      </c>
    </row>
    <row r="521" spans="1:12" x14ac:dyDescent="0.2">
      <c r="A521" s="2"/>
      <c r="B521" s="2"/>
      <c r="C521" s="2">
        <v>8</v>
      </c>
      <c r="D521" s="7"/>
      <c r="E521">
        <f t="shared" si="50"/>
        <v>84.999999999999744</v>
      </c>
      <c r="F521">
        <f t="shared" si="56"/>
        <v>1.4166666666666623</v>
      </c>
      <c r="G521">
        <f t="shared" si="51"/>
        <v>0.21381615250800376</v>
      </c>
      <c r="H521">
        <f t="shared" si="52"/>
        <v>0</v>
      </c>
      <c r="I521">
        <f t="shared" si="53"/>
        <v>67.352104787541023</v>
      </c>
      <c r="J521">
        <f t="shared" si="55"/>
        <v>0.31746023852183469</v>
      </c>
      <c r="L521">
        <f t="shared" si="54"/>
        <v>3.1746023852183471E-3</v>
      </c>
    </row>
    <row r="522" spans="1:12" x14ac:dyDescent="0.2">
      <c r="A522" s="2"/>
      <c r="B522" s="2"/>
      <c r="C522" s="2">
        <v>8</v>
      </c>
      <c r="D522" s="7"/>
      <c r="E522">
        <f t="shared" si="50"/>
        <v>85.166666666666401</v>
      </c>
      <c r="F522">
        <f t="shared" si="56"/>
        <v>1.4194444444444401</v>
      </c>
      <c r="G522">
        <f t="shared" si="51"/>
        <v>0.20772787396100967</v>
      </c>
      <c r="H522">
        <f t="shared" si="52"/>
        <v>0</v>
      </c>
      <c r="I522">
        <f t="shared" si="53"/>
        <v>67.352104787541023</v>
      </c>
      <c r="J522">
        <f t="shared" si="55"/>
        <v>0.30842076074129715</v>
      </c>
      <c r="L522">
        <f t="shared" si="54"/>
        <v>3.0842076074129713E-3</v>
      </c>
    </row>
    <row r="523" spans="1:12" x14ac:dyDescent="0.2">
      <c r="A523" s="2"/>
      <c r="B523" s="2"/>
      <c r="C523" s="2">
        <v>8</v>
      </c>
      <c r="D523" s="7"/>
      <c r="E523">
        <f t="shared" si="50"/>
        <v>85.333333333333073</v>
      </c>
      <c r="F523">
        <f t="shared" si="56"/>
        <v>1.4222222222222178</v>
      </c>
      <c r="G523">
        <f t="shared" si="51"/>
        <v>0.20181295526186149</v>
      </c>
      <c r="H523">
        <f t="shared" si="52"/>
        <v>0</v>
      </c>
      <c r="I523">
        <f t="shared" si="53"/>
        <v>67.352104787541023</v>
      </c>
      <c r="J523">
        <f t="shared" si="55"/>
        <v>0.2996386763241784</v>
      </c>
      <c r="L523">
        <f t="shared" si="54"/>
        <v>2.9963867632417842E-3</v>
      </c>
    </row>
    <row r="524" spans="1:12" x14ac:dyDescent="0.2">
      <c r="A524" s="2"/>
      <c r="B524" s="2"/>
      <c r="C524" s="2">
        <v>8</v>
      </c>
      <c r="D524" s="7"/>
      <c r="E524">
        <f t="shared" ref="E524:E587" si="57">F524*60</f>
        <v>85.49999999999973</v>
      </c>
      <c r="F524">
        <f t="shared" si="56"/>
        <v>1.4249999999999956</v>
      </c>
      <c r="G524">
        <f t="shared" ref="G524:G587" si="58">Tsamp*$D524*G$3/G$5+G$8*G523</f>
        <v>0.19606646009947998</v>
      </c>
      <c r="H524">
        <f t="shared" ref="H524:H587" si="59">$D524*$G$3/$G$6</f>
        <v>0</v>
      </c>
      <c r="I524">
        <f t="shared" ref="I524:I587" si="60">Tsamp*32*$G$3/($G$5*(1-$G$8))</f>
        <v>67.352104787541023</v>
      </c>
      <c r="J524">
        <f t="shared" si="55"/>
        <v>0.29110665615864895</v>
      </c>
      <c r="L524">
        <f t="shared" ref="L524:L587" si="61">$J524/100</f>
        <v>2.9110665615864895E-3</v>
      </c>
    </row>
    <row r="525" spans="1:12" x14ac:dyDescent="0.2">
      <c r="A525" s="2"/>
      <c r="B525" s="2"/>
      <c r="C525" s="2">
        <v>8</v>
      </c>
      <c r="D525" s="7"/>
      <c r="E525">
        <f t="shared" si="57"/>
        <v>85.666666666666401</v>
      </c>
      <c r="F525">
        <f t="shared" si="56"/>
        <v>1.4277777777777734</v>
      </c>
      <c r="G525">
        <f t="shared" si="58"/>
        <v>0.19048359272109494</v>
      </c>
      <c r="H525">
        <f t="shared" si="59"/>
        <v>0</v>
      </c>
      <c r="I525">
        <f t="shared" si="60"/>
        <v>67.352104787541023</v>
      </c>
      <c r="J525">
        <f t="shared" ref="J525:J588" si="62">$G525/$I525*100</f>
        <v>0.28281757982466366</v>
      </c>
      <c r="L525">
        <f t="shared" si="61"/>
        <v>2.8281757982466364E-3</v>
      </c>
    </row>
    <row r="526" spans="1:12" x14ac:dyDescent="0.2">
      <c r="A526" s="2"/>
      <c r="B526" s="2"/>
      <c r="C526" s="2">
        <v>8</v>
      </c>
      <c r="D526" s="7"/>
      <c r="E526">
        <f t="shared" si="57"/>
        <v>85.833333333333073</v>
      </c>
      <c r="F526">
        <f t="shared" si="56"/>
        <v>1.4305555555555511</v>
      </c>
      <c r="G526">
        <f t="shared" si="58"/>
        <v>0.18505969392993701</v>
      </c>
      <c r="H526">
        <f t="shared" si="59"/>
        <v>0</v>
      </c>
      <c r="I526">
        <f t="shared" si="60"/>
        <v>67.352104787541023</v>
      </c>
      <c r="J526">
        <f t="shared" si="62"/>
        <v>0.27476452965159576</v>
      </c>
      <c r="L526">
        <f t="shared" si="61"/>
        <v>2.7476452965159576E-3</v>
      </c>
    </row>
    <row r="527" spans="1:12" x14ac:dyDescent="0.2">
      <c r="A527" s="2"/>
      <c r="B527" s="2"/>
      <c r="C527" s="2">
        <v>8</v>
      </c>
      <c r="D527" s="7"/>
      <c r="E527">
        <f t="shared" si="57"/>
        <v>85.99999999999973</v>
      </c>
      <c r="F527">
        <f t="shared" si="56"/>
        <v>1.4333333333333289</v>
      </c>
      <c r="G527">
        <f t="shared" si="58"/>
        <v>0.17979023719689272</v>
      </c>
      <c r="H527">
        <f t="shared" si="59"/>
        <v>0</v>
      </c>
      <c r="I527">
        <f t="shared" si="60"/>
        <v>67.352104787541023</v>
      </c>
      <c r="J527">
        <f t="shared" si="62"/>
        <v>0.26694078494507689</v>
      </c>
      <c r="L527">
        <f t="shared" si="61"/>
        <v>2.6694078494507688E-3</v>
      </c>
    </row>
    <row r="528" spans="1:12" x14ac:dyDescent="0.2">
      <c r="A528" s="2"/>
      <c r="B528" s="2"/>
      <c r="C528" s="2">
        <v>8</v>
      </c>
      <c r="D528" s="7"/>
      <c r="E528">
        <f t="shared" si="57"/>
        <v>86.166666666666401</v>
      </c>
      <c r="F528">
        <f t="shared" si="56"/>
        <v>1.4361111111111067</v>
      </c>
      <c r="G528">
        <f t="shared" si="58"/>
        <v>0.17467082488287755</v>
      </c>
      <c r="H528">
        <f t="shared" si="59"/>
        <v>0</v>
      </c>
      <c r="I528">
        <f t="shared" si="60"/>
        <v>67.352104787541023</v>
      </c>
      <c r="J528">
        <f t="shared" si="62"/>
        <v>0.25933981637822345</v>
      </c>
      <c r="L528">
        <f t="shared" si="61"/>
        <v>2.5933981637822345E-3</v>
      </c>
    </row>
    <row r="529" spans="1:12" x14ac:dyDescent="0.2">
      <c r="A529" s="2"/>
      <c r="B529" s="2"/>
      <c r="C529" s="2">
        <v>8</v>
      </c>
      <c r="D529" s="7"/>
      <c r="E529">
        <f t="shared" si="57"/>
        <v>86.333333333333073</v>
      </c>
      <c r="F529">
        <f t="shared" si="56"/>
        <v>1.4388888888888844</v>
      </c>
      <c r="G529">
        <f t="shared" si="58"/>
        <v>0.16969718456877464</v>
      </c>
      <c r="H529">
        <f t="shared" si="59"/>
        <v>0</v>
      </c>
      <c r="I529">
        <f t="shared" si="60"/>
        <v>67.352104787541023</v>
      </c>
      <c r="J529">
        <f t="shared" si="62"/>
        <v>0.25195528054256994</v>
      </c>
      <c r="L529">
        <f t="shared" si="61"/>
        <v>2.5195528054256992E-3</v>
      </c>
    </row>
    <row r="530" spans="1:12" x14ac:dyDescent="0.2">
      <c r="A530" s="2"/>
      <c r="B530" s="2"/>
      <c r="C530" s="2">
        <v>8</v>
      </c>
      <c r="D530" s="7"/>
      <c r="E530">
        <f t="shared" si="57"/>
        <v>86.49999999999973</v>
      </c>
      <c r="F530">
        <f t="shared" si="56"/>
        <v>1.4416666666666622</v>
      </c>
      <c r="G530">
        <f t="shared" si="58"/>
        <v>0.16486516548987604</v>
      </c>
      <c r="H530">
        <f t="shared" si="59"/>
        <v>0</v>
      </c>
      <c r="I530">
        <f t="shared" si="60"/>
        <v>67.352104787541023</v>
      </c>
      <c r="J530">
        <f t="shared" si="62"/>
        <v>0.24478101465416008</v>
      </c>
      <c r="L530">
        <f t="shared" si="61"/>
        <v>2.4478101465416008E-3</v>
      </c>
    </row>
    <row r="531" spans="1:12" x14ac:dyDescent="0.2">
      <c r="A531" s="2"/>
      <c r="B531" s="2"/>
      <c r="C531" s="2">
        <v>8</v>
      </c>
      <c r="D531" s="7"/>
      <c r="E531">
        <f t="shared" si="57"/>
        <v>86.666666666666401</v>
      </c>
      <c r="F531">
        <f t="shared" si="56"/>
        <v>1.44444444444444</v>
      </c>
      <c r="G531">
        <f t="shared" si="58"/>
        <v>0.16017073507185106</v>
      </c>
      <c r="H531">
        <f t="shared" si="59"/>
        <v>0</v>
      </c>
      <c r="I531">
        <f t="shared" si="60"/>
        <v>67.352104787541023</v>
      </c>
      <c r="J531">
        <f t="shared" si="62"/>
        <v>0.23781103141037974</v>
      </c>
      <c r="L531">
        <f t="shared" si="61"/>
        <v>2.3781103141037973E-3</v>
      </c>
    </row>
    <row r="532" spans="1:12" x14ac:dyDescent="0.2">
      <c r="A532" s="2"/>
      <c r="B532" s="2"/>
      <c r="C532" s="2">
        <v>8</v>
      </c>
      <c r="D532" s="7"/>
      <c r="E532">
        <f t="shared" si="57"/>
        <v>86.833333333333059</v>
      </c>
      <c r="F532">
        <f t="shared" si="56"/>
        <v>1.4472222222222177</v>
      </c>
      <c r="G532">
        <f t="shared" si="58"/>
        <v>0.15560997556535064</v>
      </c>
      <c r="H532">
        <f t="shared" si="59"/>
        <v>0</v>
      </c>
      <c r="I532">
        <f t="shared" si="60"/>
        <v>67.352104787541023</v>
      </c>
      <c r="J532">
        <f t="shared" si="62"/>
        <v>0.23103951399323724</v>
      </c>
      <c r="L532">
        <f t="shared" si="61"/>
        <v>2.3103951399323724E-3</v>
      </c>
    </row>
    <row r="533" spans="1:12" x14ac:dyDescent="0.2">
      <c r="A533" s="2"/>
      <c r="B533" s="2"/>
      <c r="C533" s="2">
        <v>8</v>
      </c>
      <c r="D533" s="7"/>
      <c r="E533">
        <f t="shared" si="57"/>
        <v>86.99999999999973</v>
      </c>
      <c r="F533">
        <f t="shared" si="56"/>
        <v>1.4499999999999955</v>
      </c>
      <c r="G533">
        <f t="shared" si="58"/>
        <v>0.15117908077643924</v>
      </c>
      <c r="H533">
        <f t="shared" si="59"/>
        <v>0</v>
      </c>
      <c r="I533">
        <f t="shared" si="60"/>
        <v>67.352104787541023</v>
      </c>
      <c r="J533">
        <f t="shared" si="62"/>
        <v>0.22446081121492251</v>
      </c>
      <c r="L533">
        <f t="shared" si="61"/>
        <v>2.2446081121492252E-3</v>
      </c>
    </row>
    <row r="534" spans="1:12" x14ac:dyDescent="0.2">
      <c r="A534" s="2"/>
      <c r="B534" s="2"/>
      <c r="C534" s="2">
        <v>8</v>
      </c>
      <c r="D534" s="7"/>
      <c r="E534">
        <f t="shared" si="57"/>
        <v>87.166666666666401</v>
      </c>
      <c r="F534">
        <f t="shared" si="56"/>
        <v>1.4527777777777733</v>
      </c>
      <c r="G534">
        <f t="shared" si="58"/>
        <v>0.14687435289012565</v>
      </c>
      <c r="H534">
        <f t="shared" si="59"/>
        <v>0</v>
      </c>
      <c r="I534">
        <f t="shared" si="60"/>
        <v>67.352104787541023</v>
      </c>
      <c r="J534">
        <f t="shared" si="62"/>
        <v>0.21806943280159355</v>
      </c>
      <c r="L534">
        <f t="shared" si="61"/>
        <v>2.1806943280159355E-3</v>
      </c>
    </row>
    <row r="535" spans="1:12" x14ac:dyDescent="0.2">
      <c r="A535" s="2"/>
      <c r="B535" s="2"/>
      <c r="C535" s="2">
        <v>8</v>
      </c>
      <c r="D535" s="7"/>
      <c r="E535">
        <f t="shared" si="57"/>
        <v>87.333333333333059</v>
      </c>
      <c r="F535">
        <f t="shared" si="56"/>
        <v>1.4555555555555511</v>
      </c>
      <c r="G535">
        <f t="shared" si="58"/>
        <v>0.14269219938434166</v>
      </c>
      <c r="H535">
        <f t="shared" si="59"/>
        <v>0</v>
      </c>
      <c r="I535">
        <f t="shared" si="60"/>
        <v>67.352104787541023</v>
      </c>
      <c r="J535">
        <f t="shared" si="62"/>
        <v>0.21186004481145368</v>
      </c>
      <c r="L535">
        <f t="shared" si="61"/>
        <v>2.1186004481145368E-3</v>
      </c>
    </row>
    <row r="536" spans="1:12" x14ac:dyDescent="0.2">
      <c r="A536" s="2"/>
      <c r="B536" s="2"/>
      <c r="C536" s="2">
        <v>8</v>
      </c>
      <c r="D536" s="7"/>
      <c r="E536">
        <f t="shared" si="57"/>
        <v>87.49999999999973</v>
      </c>
      <c r="F536">
        <f t="shared" si="56"/>
        <v>1.4583333333333288</v>
      </c>
      <c r="G536">
        <f t="shared" si="58"/>
        <v>0.13862913003179322</v>
      </c>
      <c r="H536">
        <f t="shared" si="59"/>
        <v>0</v>
      </c>
      <c r="I536">
        <f t="shared" si="60"/>
        <v>67.352104787541023</v>
      </c>
      <c r="J536">
        <f t="shared" si="62"/>
        <v>0.20582746518329628</v>
      </c>
      <c r="L536">
        <f t="shared" si="61"/>
        <v>2.0582746518329627E-3</v>
      </c>
    </row>
    <row r="537" spans="1:12" x14ac:dyDescent="0.2">
      <c r="A537" s="2"/>
      <c r="B537" s="2"/>
      <c r="C537" s="2">
        <v>8</v>
      </c>
      <c r="D537" s="7"/>
      <c r="E537">
        <f t="shared" si="57"/>
        <v>87.666666666666401</v>
      </c>
      <c r="F537">
        <f t="shared" si="56"/>
        <v>1.4611111111111066</v>
      </c>
      <c r="G537">
        <f t="shared" si="58"/>
        <v>0.13468175398718207</v>
      </c>
      <c r="H537">
        <f t="shared" si="59"/>
        <v>0</v>
      </c>
      <c r="I537">
        <f t="shared" si="60"/>
        <v>67.352104787541023</v>
      </c>
      <c r="J537">
        <f t="shared" si="62"/>
        <v>0.19996665941180189</v>
      </c>
      <c r="L537">
        <f t="shared" si="61"/>
        <v>1.9996665941180189E-3</v>
      </c>
    </row>
    <row r="538" spans="1:12" x14ac:dyDescent="0.2">
      <c r="A538" s="2"/>
      <c r="B538" s="2"/>
      <c r="C538" s="2">
        <v>8</v>
      </c>
      <c r="D538" s="7"/>
      <c r="E538">
        <f t="shared" si="57"/>
        <v>87.833333333333059</v>
      </c>
      <c r="F538">
        <f t="shared" si="56"/>
        <v>1.4638888888888844</v>
      </c>
      <c r="G538">
        <f t="shared" si="58"/>
        <v>0.13084677695736668</v>
      </c>
      <c r="H538">
        <f t="shared" si="59"/>
        <v>0</v>
      </c>
      <c r="I538">
        <f t="shared" si="60"/>
        <v>67.352104787541023</v>
      </c>
      <c r="J538">
        <f t="shared" si="62"/>
        <v>0.19427273634597841</v>
      </c>
      <c r="L538">
        <f t="shared" si="61"/>
        <v>1.9427273634597842E-3</v>
      </c>
    </row>
    <row r="539" spans="1:12" x14ac:dyDescent="0.2">
      <c r="A539" s="2"/>
      <c r="B539" s="2"/>
      <c r="C539" s="2">
        <v>8</v>
      </c>
      <c r="D539" s="7"/>
      <c r="E539">
        <f t="shared" si="57"/>
        <v>87.99999999999973</v>
      </c>
      <c r="F539">
        <f t="shared" si="56"/>
        <v>1.4666666666666621</v>
      </c>
      <c r="G539">
        <f t="shared" si="58"/>
        <v>0.12712099845210134</v>
      </c>
      <c r="H539">
        <f t="shared" si="59"/>
        <v>0</v>
      </c>
      <c r="I539">
        <f t="shared" si="60"/>
        <v>67.352104787541023</v>
      </c>
      <c r="J539">
        <f t="shared" si="62"/>
        <v>0.18874094410723824</v>
      </c>
      <c r="L539">
        <f t="shared" si="61"/>
        <v>1.8874094410723824E-3</v>
      </c>
    </row>
    <row r="540" spans="1:12" x14ac:dyDescent="0.2">
      <c r="A540" s="2"/>
      <c r="B540" s="2"/>
      <c r="C540" s="2">
        <v>8</v>
      </c>
      <c r="D540" s="7"/>
      <c r="E540">
        <f t="shared" si="57"/>
        <v>88.166666666666387</v>
      </c>
      <c r="F540">
        <f t="shared" si="56"/>
        <v>1.4694444444444399</v>
      </c>
      <c r="G540">
        <f t="shared" si="58"/>
        <v>0.12350130911305841</v>
      </c>
      <c r="H540">
        <f t="shared" si="59"/>
        <v>0</v>
      </c>
      <c r="I540">
        <f t="shared" si="60"/>
        <v>67.352104787541023</v>
      </c>
      <c r="J540">
        <f t="shared" si="62"/>
        <v>0.1833666661237052</v>
      </c>
      <c r="L540">
        <f t="shared" si="61"/>
        <v>1.8336666612370519E-3</v>
      </c>
    </row>
    <row r="541" spans="1:12" x14ac:dyDescent="0.2">
      <c r="A541" s="2"/>
      <c r="B541" s="2"/>
      <c r="C541" s="2">
        <v>8</v>
      </c>
      <c r="D541" s="7"/>
      <c r="E541">
        <f t="shared" si="57"/>
        <v>88.333333333333059</v>
      </c>
      <c r="F541">
        <f t="shared" si="56"/>
        <v>1.4722222222222177</v>
      </c>
      <c r="G541">
        <f t="shared" si="58"/>
        <v>0.11998468811890517</v>
      </c>
      <c r="H541">
        <f t="shared" si="59"/>
        <v>0</v>
      </c>
      <c r="I541">
        <f t="shared" si="60"/>
        <v>67.352104787541023</v>
      </c>
      <c r="J541">
        <f t="shared" si="62"/>
        <v>0.17814541727744232</v>
      </c>
      <c r="L541">
        <f t="shared" si="61"/>
        <v>1.7814541727744233E-3</v>
      </c>
    </row>
    <row r="542" spans="1:12" x14ac:dyDescent="0.2">
      <c r="A542" s="2"/>
      <c r="B542" s="2"/>
      <c r="C542" s="2">
        <v>8</v>
      </c>
      <c r="D542" s="7"/>
      <c r="E542">
        <f t="shared" si="57"/>
        <v>88.49999999999973</v>
      </c>
      <c r="F542">
        <f t="shared" si="56"/>
        <v>1.4749999999999954</v>
      </c>
      <c r="G542">
        <f t="shared" si="58"/>
        <v>0.11656820066426929</v>
      </c>
      <c r="H542">
        <f t="shared" si="59"/>
        <v>0</v>
      </c>
      <c r="I542">
        <f t="shared" si="60"/>
        <v>67.352104787541023</v>
      </c>
      <c r="J542">
        <f t="shared" si="62"/>
        <v>0.17307284016138483</v>
      </c>
      <c r="L542">
        <f t="shared" si="61"/>
        <v>1.7307284016138483E-3</v>
      </c>
    </row>
    <row r="543" spans="1:12" x14ac:dyDescent="0.2">
      <c r="A543" s="2"/>
      <c r="B543" s="2"/>
      <c r="C543" s="2">
        <v>8</v>
      </c>
      <c r="D543" s="7"/>
      <c r="E543">
        <f t="shared" si="57"/>
        <v>88.666666666666387</v>
      </c>
      <c r="F543">
        <f t="shared" si="56"/>
        <v>1.4777777777777732</v>
      </c>
      <c r="G543">
        <f t="shared" si="58"/>
        <v>0.11324899551048931</v>
      </c>
      <c r="H543">
        <f t="shared" si="59"/>
        <v>0</v>
      </c>
      <c r="I543">
        <f t="shared" si="60"/>
        <v>67.352104787541023</v>
      </c>
      <c r="J543">
        <f t="shared" si="62"/>
        <v>0.1681447014428544</v>
      </c>
      <c r="L543">
        <f t="shared" si="61"/>
        <v>1.6814470144285441E-3</v>
      </c>
    </row>
    <row r="544" spans="1:12" x14ac:dyDescent="0.2">
      <c r="A544" s="2"/>
      <c r="B544" s="2"/>
      <c r="C544" s="2">
        <v>8</v>
      </c>
      <c r="D544" s="7"/>
      <c r="E544">
        <f t="shared" si="57"/>
        <v>88.833333333333059</v>
      </c>
      <c r="F544">
        <f t="shared" si="56"/>
        <v>1.480555555555551</v>
      </c>
      <c r="G544">
        <f t="shared" si="58"/>
        <v>0.11002430260610579</v>
      </c>
      <c r="H544">
        <f t="shared" si="59"/>
        <v>0</v>
      </c>
      <c r="I544">
        <f t="shared" si="60"/>
        <v>67.352104787541023</v>
      </c>
      <c r="J544">
        <f t="shared" si="62"/>
        <v>0.16335688833062034</v>
      </c>
      <c r="L544">
        <f t="shared" si="61"/>
        <v>1.6335688833062035E-3</v>
      </c>
    </row>
    <row r="545" spans="1:12" x14ac:dyDescent="0.2">
      <c r="A545" s="2"/>
      <c r="B545" s="2"/>
      <c r="C545" s="2">
        <v>8</v>
      </c>
      <c r="D545" s="7"/>
      <c r="E545">
        <f t="shared" si="57"/>
        <v>88.99999999999973</v>
      </c>
      <c r="F545">
        <f t="shared" si="56"/>
        <v>1.4833333333333287</v>
      </c>
      <c r="G545">
        <f t="shared" si="58"/>
        <v>0.1068914307751076</v>
      </c>
      <c r="H545">
        <f t="shared" si="59"/>
        <v>0</v>
      </c>
      <c r="I545">
        <f t="shared" si="60"/>
        <v>67.352104787541023</v>
      </c>
      <c r="J545">
        <f t="shared" si="62"/>
        <v>0.1587054051425586</v>
      </c>
      <c r="L545">
        <f t="shared" si="61"/>
        <v>1.5870540514255861E-3</v>
      </c>
    </row>
    <row r="546" spans="1:12" x14ac:dyDescent="0.2">
      <c r="A546" s="2"/>
      <c r="B546" s="2"/>
      <c r="C546" s="2">
        <v>8</v>
      </c>
      <c r="D546" s="7"/>
      <c r="E546">
        <f t="shared" si="57"/>
        <v>89.166666666666387</v>
      </c>
      <c r="F546">
        <f t="shared" si="56"/>
        <v>1.4861111111111065</v>
      </c>
      <c r="G546">
        <f t="shared" si="58"/>
        <v>0.10384776547100373</v>
      </c>
      <c r="H546">
        <f t="shared" si="59"/>
        <v>0</v>
      </c>
      <c r="I546">
        <f t="shared" si="60"/>
        <v>67.352104787541023</v>
      </c>
      <c r="J546">
        <f t="shared" si="62"/>
        <v>0.15418636997104473</v>
      </c>
      <c r="L546">
        <f t="shared" si="61"/>
        <v>1.5418636997104474E-3</v>
      </c>
    </row>
    <row r="547" spans="1:12" x14ac:dyDescent="0.2">
      <c r="A547" s="2"/>
      <c r="B547" s="2"/>
      <c r="C547" s="2">
        <v>8</v>
      </c>
      <c r="D547" s="7"/>
      <c r="E547">
        <f t="shared" si="57"/>
        <v>89.333333333333059</v>
      </c>
      <c r="F547">
        <f t="shared" si="56"/>
        <v>1.4888888888888843</v>
      </c>
      <c r="G547">
        <f t="shared" si="58"/>
        <v>0.10089076659484671</v>
      </c>
      <c r="H547">
        <f t="shared" si="59"/>
        <v>0</v>
      </c>
      <c r="I547">
        <f t="shared" si="60"/>
        <v>67.352104787541023</v>
      </c>
      <c r="J547">
        <f t="shared" si="62"/>
        <v>0.14979601144329754</v>
      </c>
      <c r="L547">
        <f t="shared" si="61"/>
        <v>1.4979601144329755E-3</v>
      </c>
    </row>
    <row r="548" spans="1:12" x14ac:dyDescent="0.2">
      <c r="A548" s="2"/>
      <c r="B548" s="2"/>
      <c r="C548" s="2">
        <v>8</v>
      </c>
      <c r="D548" s="7"/>
      <c r="E548">
        <f t="shared" si="57"/>
        <v>89.499999999999716</v>
      </c>
      <c r="F548">
        <f t="shared" si="56"/>
        <v>1.491666666666662</v>
      </c>
      <c r="G548">
        <f t="shared" si="58"/>
        <v>9.8017966375386206E-2</v>
      </c>
      <c r="H548">
        <f t="shared" si="59"/>
        <v>0</v>
      </c>
      <c r="I548">
        <f t="shared" si="60"/>
        <v>67.352104787541023</v>
      </c>
      <c r="J548">
        <f t="shared" si="62"/>
        <v>0.14553066557397007</v>
      </c>
      <c r="L548">
        <f t="shared" si="61"/>
        <v>1.4553066557397008E-3</v>
      </c>
    </row>
    <row r="549" spans="1:12" x14ac:dyDescent="0.2">
      <c r="A549" s="2"/>
      <c r="B549" s="2"/>
      <c r="C549" s="2">
        <v>8</v>
      </c>
      <c r="D549" s="7"/>
      <c r="E549">
        <f t="shared" si="57"/>
        <v>89.666666666666387</v>
      </c>
      <c r="F549">
        <f t="shared" si="56"/>
        <v>1.4944444444444398</v>
      </c>
      <c r="G549">
        <f t="shared" si="58"/>
        <v>9.5226967309584035E-2</v>
      </c>
      <c r="H549">
        <f t="shared" si="59"/>
        <v>0</v>
      </c>
      <c r="I549">
        <f t="shared" si="60"/>
        <v>67.352104787541023</v>
      </c>
      <c r="J549">
        <f t="shared" si="62"/>
        <v>0.14138677270736072</v>
      </c>
      <c r="L549">
        <f t="shared" si="61"/>
        <v>1.4138677270736071E-3</v>
      </c>
    </row>
    <row r="550" spans="1:12" x14ac:dyDescent="0.2">
      <c r="A550" s="2"/>
      <c r="B550" s="2"/>
      <c r="C550" s="2">
        <v>8</v>
      </c>
      <c r="D550" s="7"/>
      <c r="E550">
        <f t="shared" si="57"/>
        <v>89.833333333333059</v>
      </c>
      <c r="F550">
        <f t="shared" si="56"/>
        <v>1.4972222222222176</v>
      </c>
      <c r="G550">
        <f t="shared" si="58"/>
        <v>9.2515440161771642E-2</v>
      </c>
      <c r="H550">
        <f t="shared" si="59"/>
        <v>0</v>
      </c>
      <c r="I550">
        <f t="shared" si="60"/>
        <v>67.352104787541023</v>
      </c>
      <c r="J550">
        <f t="shared" si="62"/>
        <v>0.13736087454669332</v>
      </c>
      <c r="L550">
        <f t="shared" si="61"/>
        <v>1.3736087454669333E-3</v>
      </c>
    </row>
    <row r="551" spans="1:12" x14ac:dyDescent="0.2">
      <c r="A551" s="2"/>
      <c r="B551" s="2"/>
      <c r="C551" s="2">
        <v>8</v>
      </c>
      <c r="D551" s="7"/>
      <c r="E551">
        <f t="shared" si="57"/>
        <v>89.999999999999716</v>
      </c>
      <c r="F551">
        <f t="shared" si="56"/>
        <v>1.4999999999999953</v>
      </c>
      <c r="G551">
        <f t="shared" si="58"/>
        <v>8.9881122019780268E-2</v>
      </c>
      <c r="H551">
        <f t="shared" si="59"/>
        <v>0</v>
      </c>
      <c r="I551">
        <f t="shared" si="60"/>
        <v>67.352104787541023</v>
      </c>
      <c r="J551">
        <f t="shared" si="62"/>
        <v>0.13344961126798627</v>
      </c>
      <c r="L551">
        <f t="shared" si="61"/>
        <v>1.3344961126798627E-3</v>
      </c>
    </row>
    <row r="552" spans="1:12" x14ac:dyDescent="0.2">
      <c r="A552" s="2"/>
      <c r="B552" s="2"/>
      <c r="C552" s="2">
        <v>4</v>
      </c>
      <c r="D552" s="7"/>
      <c r="E552">
        <f t="shared" si="57"/>
        <v>90.166666666666387</v>
      </c>
      <c r="F552">
        <f t="shared" si="56"/>
        <v>1.5027777777777731</v>
      </c>
      <c r="G552">
        <f t="shared" si="58"/>
        <v>8.732181440642163E-2</v>
      </c>
      <c r="H552">
        <f t="shared" si="59"/>
        <v>0</v>
      </c>
      <c r="I552">
        <f t="shared" si="60"/>
        <v>67.352104787541023</v>
      </c>
      <c r="J552">
        <f t="shared" si="62"/>
        <v>0.12964971871610262</v>
      </c>
      <c r="L552">
        <f t="shared" si="61"/>
        <v>1.2964971871610262E-3</v>
      </c>
    </row>
    <row r="553" spans="1:12" x14ac:dyDescent="0.2">
      <c r="A553" s="2"/>
      <c r="B553" s="2"/>
      <c r="C553" s="2">
        <v>4</v>
      </c>
      <c r="D553" s="7"/>
      <c r="E553">
        <f t="shared" si="57"/>
        <v>90.333333333333059</v>
      </c>
      <c r="F553">
        <f t="shared" si="56"/>
        <v>1.5055555555555509</v>
      </c>
      <c r="G553">
        <f t="shared" si="58"/>
        <v>8.4835381444742952E-2</v>
      </c>
      <c r="H553">
        <f t="shared" si="59"/>
        <v>0</v>
      </c>
      <c r="I553">
        <f t="shared" si="60"/>
        <v>67.352104787541023</v>
      </c>
      <c r="J553">
        <f t="shared" si="62"/>
        <v>0.12595802568064071</v>
      </c>
      <c r="L553">
        <f t="shared" si="61"/>
        <v>1.259580256806407E-3</v>
      </c>
    </row>
    <row r="554" spans="1:12" x14ac:dyDescent="0.2">
      <c r="A554" s="2"/>
      <c r="B554" s="2"/>
      <c r="C554" s="2">
        <v>4</v>
      </c>
      <c r="D554" s="7"/>
      <c r="E554">
        <f t="shared" si="57"/>
        <v>90.499999999999716</v>
      </c>
      <c r="F554">
        <f t="shared" si="56"/>
        <v>1.5083333333333286</v>
      </c>
      <c r="G554">
        <f t="shared" si="58"/>
        <v>8.2419748075525184E-2</v>
      </c>
      <c r="H554">
        <f t="shared" si="59"/>
        <v>0</v>
      </c>
      <c r="I554">
        <f t="shared" si="60"/>
        <v>67.352104787541023</v>
      </c>
      <c r="J554">
        <f t="shared" si="62"/>
        <v>0.122371451249392</v>
      </c>
      <c r="L554">
        <f t="shared" si="61"/>
        <v>1.22371451249392E-3</v>
      </c>
    </row>
    <row r="555" spans="1:12" x14ac:dyDescent="0.2">
      <c r="A555" s="2"/>
      <c r="B555" s="2"/>
      <c r="C555" s="2">
        <v>4</v>
      </c>
      <c r="D555" s="7"/>
      <c r="E555">
        <f t="shared" si="57"/>
        <v>90.666666666666387</v>
      </c>
      <c r="F555">
        <f t="shared" si="56"/>
        <v>1.5111111111111064</v>
      </c>
      <c r="G555">
        <f t="shared" si="58"/>
        <v>8.0072898325536851E-2</v>
      </c>
      <c r="H555">
        <f t="shared" si="59"/>
        <v>0</v>
      </c>
      <c r="I555">
        <f t="shared" si="60"/>
        <v>67.352104787541023</v>
      </c>
      <c r="J555">
        <f t="shared" si="62"/>
        <v>0.11888700223715792</v>
      </c>
      <c r="L555">
        <f t="shared" si="61"/>
        <v>1.1888700223715793E-3</v>
      </c>
    </row>
    <row r="556" spans="1:12" x14ac:dyDescent="0.2">
      <c r="A556" s="2"/>
      <c r="B556" s="2"/>
      <c r="C556" s="2">
        <v>4</v>
      </c>
      <c r="D556" s="7"/>
      <c r="E556">
        <f t="shared" si="57"/>
        <v>90.833333333333044</v>
      </c>
      <c r="F556">
        <f t="shared" si="56"/>
        <v>1.5138888888888842</v>
      </c>
      <c r="G556">
        <f t="shared" si="58"/>
        <v>7.7792873625098208E-2</v>
      </c>
      <c r="H556">
        <f t="shared" si="59"/>
        <v>0</v>
      </c>
      <c r="I556">
        <f t="shared" si="60"/>
        <v>67.352104787541023</v>
      </c>
      <c r="J556">
        <f t="shared" si="62"/>
        <v>0.11550177068777893</v>
      </c>
      <c r="L556">
        <f t="shared" si="61"/>
        <v>1.1550177068777893E-3</v>
      </c>
    </row>
    <row r="557" spans="1:12" x14ac:dyDescent="0.2">
      <c r="A557" s="2"/>
      <c r="B557" s="2"/>
      <c r="C557" s="2">
        <v>4</v>
      </c>
      <c r="D557" s="7"/>
      <c r="E557">
        <f t="shared" si="57"/>
        <v>90.999999999999716</v>
      </c>
      <c r="F557">
        <f t="shared" si="56"/>
        <v>1.5166666666666619</v>
      </c>
      <c r="G557">
        <f t="shared" si="58"/>
        <v>7.5577771173551758E-2</v>
      </c>
      <c r="H557">
        <f t="shared" si="59"/>
        <v>0</v>
      </c>
      <c r="I557">
        <f t="shared" si="60"/>
        <v>67.352104787541023</v>
      </c>
      <c r="J557">
        <f t="shared" si="62"/>
        <v>0.11221293144729211</v>
      </c>
      <c r="L557">
        <f t="shared" si="61"/>
        <v>1.1221293144729211E-3</v>
      </c>
    </row>
    <row r="558" spans="1:12" x14ac:dyDescent="0.2">
      <c r="A558" s="2"/>
      <c r="B558" s="2"/>
      <c r="C558" s="2">
        <v>4</v>
      </c>
      <c r="D558" s="7"/>
      <c r="E558">
        <f t="shared" si="57"/>
        <v>91.166666666666387</v>
      </c>
      <c r="F558">
        <f t="shared" si="56"/>
        <v>1.5194444444444397</v>
      </c>
      <c r="G558">
        <f t="shared" si="58"/>
        <v>7.3425742351274928E-2</v>
      </c>
      <c r="H558">
        <f t="shared" si="59"/>
        <v>0</v>
      </c>
      <c r="I558">
        <f t="shared" si="60"/>
        <v>67.352104787541023</v>
      </c>
      <c r="J558">
        <f t="shared" si="62"/>
        <v>0.10901773980619152</v>
      </c>
      <c r="L558">
        <f t="shared" si="61"/>
        <v>1.0901773980619151E-3</v>
      </c>
    </row>
    <row r="559" spans="1:12" x14ac:dyDescent="0.2">
      <c r="A559" s="2"/>
      <c r="B559" s="2"/>
      <c r="C559" s="2">
        <v>4</v>
      </c>
      <c r="D559" s="7"/>
      <c r="E559">
        <f t="shared" si="57"/>
        <v>91.333333333333044</v>
      </c>
      <c r="F559">
        <f t="shared" si="56"/>
        <v>1.5222222222222175</v>
      </c>
      <c r="G559">
        <f t="shared" si="58"/>
        <v>7.1334991176909612E-2</v>
      </c>
      <c r="H559">
        <f t="shared" si="59"/>
        <v>0</v>
      </c>
      <c r="I559">
        <f t="shared" si="60"/>
        <v>67.352104787541023</v>
      </c>
      <c r="J559">
        <f t="shared" si="62"/>
        <v>0.10591352920882341</v>
      </c>
      <c r="L559">
        <f t="shared" si="61"/>
        <v>1.0591352920882341E-3</v>
      </c>
    </row>
    <row r="560" spans="1:12" x14ac:dyDescent="0.2">
      <c r="A560" s="2"/>
      <c r="B560" s="2"/>
      <c r="C560" s="2">
        <v>4</v>
      </c>
      <c r="D560" s="7"/>
      <c r="E560">
        <f t="shared" si="57"/>
        <v>91.499999999999716</v>
      </c>
      <c r="F560">
        <f t="shared" si="56"/>
        <v>1.5249999999999952</v>
      </c>
      <c r="G560">
        <f t="shared" si="58"/>
        <v>6.9303772808521222E-2</v>
      </c>
      <c r="H560">
        <f t="shared" si="59"/>
        <v>0</v>
      </c>
      <c r="I560">
        <f t="shared" si="60"/>
        <v>67.352104787541023</v>
      </c>
      <c r="J560">
        <f t="shared" si="62"/>
        <v>0.10289770902800535</v>
      </c>
      <c r="L560">
        <f t="shared" si="61"/>
        <v>1.0289770902800535E-3</v>
      </c>
    </row>
    <row r="561" spans="1:12" x14ac:dyDescent="0.2">
      <c r="A561" s="2"/>
      <c r="B561" s="2"/>
      <c r="C561" s="2">
        <v>4</v>
      </c>
      <c r="D561" s="7"/>
      <c r="E561">
        <f t="shared" si="57"/>
        <v>91.666666666666387</v>
      </c>
      <c r="F561">
        <f t="shared" ref="F561:F624" si="63">Tsamp+F560</f>
        <v>1.527777777777773</v>
      </c>
      <c r="G561">
        <f t="shared" si="58"/>
        <v>6.7330392087436186E-2</v>
      </c>
      <c r="H561">
        <f t="shared" si="59"/>
        <v>0</v>
      </c>
      <c r="I561">
        <f t="shared" si="60"/>
        <v>67.352104787541023</v>
      </c>
      <c r="J561">
        <f t="shared" si="62"/>
        <v>9.9967762403011251E-2</v>
      </c>
      <c r="L561">
        <f t="shared" si="61"/>
        <v>9.9967762403011255E-4</v>
      </c>
    </row>
    <row r="562" spans="1:12" x14ac:dyDescent="0.2">
      <c r="A562" s="2"/>
      <c r="B562" s="2"/>
      <c r="C562" s="2">
        <v>4</v>
      </c>
      <c r="D562" s="7"/>
      <c r="E562">
        <f t="shared" si="57"/>
        <v>91.833333333333044</v>
      </c>
      <c r="F562">
        <f t="shared" si="63"/>
        <v>1.5305555555555508</v>
      </c>
      <c r="G562">
        <f t="shared" si="58"/>
        <v>6.5413202123542818E-2</v>
      </c>
      <c r="H562">
        <f t="shared" si="59"/>
        <v>0</v>
      </c>
      <c r="I562">
        <f t="shared" si="60"/>
        <v>67.352104787541023</v>
      </c>
      <c r="J562">
        <f t="shared" si="62"/>
        <v>9.7121244139118768E-2</v>
      </c>
      <c r="L562">
        <f t="shared" si="61"/>
        <v>9.7121244139118765E-4</v>
      </c>
    </row>
    <row r="563" spans="1:12" x14ac:dyDescent="0.2">
      <c r="A563" s="2"/>
      <c r="B563" s="2"/>
      <c r="C563" s="2">
        <v>4</v>
      </c>
      <c r="D563" s="7"/>
      <c r="E563">
        <f t="shared" si="57"/>
        <v>91.999999999999716</v>
      </c>
      <c r="F563">
        <f t="shared" si="63"/>
        <v>1.5333333333333286</v>
      </c>
      <c r="G563">
        <f t="shared" si="58"/>
        <v>6.3550602920874791E-2</v>
      </c>
      <c r="H563">
        <f t="shared" si="59"/>
        <v>0</v>
      </c>
      <c r="I563">
        <f t="shared" si="60"/>
        <v>67.352104787541023</v>
      </c>
      <c r="J563">
        <f t="shared" si="62"/>
        <v>9.4355778666965359E-2</v>
      </c>
      <c r="L563">
        <f t="shared" si="61"/>
        <v>9.4355778666965361E-4</v>
      </c>
    </row>
    <row r="564" spans="1:12" x14ac:dyDescent="0.2">
      <c r="A564" s="2"/>
      <c r="B564" s="2"/>
      <c r="C564" s="2">
        <v>4</v>
      </c>
      <c r="D564" s="7"/>
      <c r="E564">
        <f t="shared" si="57"/>
        <v>92.166666666666373</v>
      </c>
      <c r="F564">
        <f t="shared" si="63"/>
        <v>1.5361111111111063</v>
      </c>
      <c r="G564">
        <f t="shared" si="58"/>
        <v>6.1741040042330247E-2</v>
      </c>
      <c r="H564">
        <f t="shared" si="59"/>
        <v>0</v>
      </c>
      <c r="I564">
        <f t="shared" si="60"/>
        <v>67.352104787541023</v>
      </c>
      <c r="J564">
        <f t="shared" si="62"/>
        <v>9.166905806001073E-2</v>
      </c>
      <c r="L564">
        <f t="shared" si="61"/>
        <v>9.1669058060010733E-4</v>
      </c>
    </row>
    <row r="565" spans="1:12" x14ac:dyDescent="0.2">
      <c r="A565" s="2"/>
      <c r="B565" s="2"/>
      <c r="C565" s="2">
        <v>4</v>
      </c>
      <c r="D565" s="7"/>
      <c r="E565">
        <f t="shared" si="57"/>
        <v>92.333333333333044</v>
      </c>
      <c r="F565">
        <f t="shared" si="63"/>
        <v>1.5388888888888841</v>
      </c>
      <c r="G565">
        <f t="shared" si="58"/>
        <v>5.9983003312412235E-2</v>
      </c>
      <c r="H565">
        <f t="shared" si="59"/>
        <v>0</v>
      </c>
      <c r="I565">
        <f t="shared" si="60"/>
        <v>67.352104787541023</v>
      </c>
      <c r="J565">
        <f t="shared" si="62"/>
        <v>8.9058840108450554E-2</v>
      </c>
      <c r="L565">
        <f t="shared" si="61"/>
        <v>8.9058840108450555E-4</v>
      </c>
    </row>
    <row r="566" spans="1:12" x14ac:dyDescent="0.2">
      <c r="A566" s="2"/>
      <c r="B566" s="2"/>
      <c r="C566" s="2">
        <v>4</v>
      </c>
      <c r="D566" s="7"/>
      <c r="E566">
        <f t="shared" si="57"/>
        <v>92.499999999999716</v>
      </c>
      <c r="F566">
        <f t="shared" si="63"/>
        <v>1.5416666666666619</v>
      </c>
      <c r="G566">
        <f t="shared" si="58"/>
        <v>5.8275025556907702E-2</v>
      </c>
      <c r="H566">
        <f t="shared" si="59"/>
        <v>0</v>
      </c>
      <c r="I566">
        <f t="shared" si="60"/>
        <v>67.352104787541023</v>
      </c>
      <c r="J566">
        <f t="shared" si="62"/>
        <v>8.6522946447974369E-2</v>
      </c>
      <c r="L566">
        <f t="shared" si="61"/>
        <v>8.6522946447974364E-4</v>
      </c>
    </row>
    <row r="567" spans="1:12" x14ac:dyDescent="0.2">
      <c r="A567" s="2"/>
      <c r="B567" s="2"/>
      <c r="C567" s="2">
        <v>4</v>
      </c>
      <c r="D567" s="7"/>
      <c r="E567">
        <f t="shared" si="57"/>
        <v>92.666666666666373</v>
      </c>
      <c r="F567">
        <f t="shared" si="63"/>
        <v>1.5444444444444396</v>
      </c>
      <c r="G567">
        <f t="shared" si="58"/>
        <v>5.6615681378453402E-2</v>
      </c>
      <c r="H567">
        <f t="shared" si="59"/>
        <v>0</v>
      </c>
      <c r="I567">
        <f t="shared" si="60"/>
        <v>67.352104787541023</v>
      </c>
      <c r="J567">
        <f t="shared" si="62"/>
        <v>8.4059260741805836E-2</v>
      </c>
      <c r="L567">
        <f t="shared" si="61"/>
        <v>8.4059260741805837E-4</v>
      </c>
    </row>
    <row r="568" spans="1:12" x14ac:dyDescent="0.2">
      <c r="A568" s="2"/>
      <c r="B568" s="2"/>
      <c r="C568" s="2">
        <v>4</v>
      </c>
      <c r="D568" s="7"/>
      <c r="E568">
        <f t="shared" si="57"/>
        <v>92.833333333333044</v>
      </c>
      <c r="F568">
        <f t="shared" si="63"/>
        <v>1.5472222222222174</v>
      </c>
      <c r="G568">
        <f t="shared" si="58"/>
        <v>5.5003585966966716E-2</v>
      </c>
      <c r="H568">
        <f t="shared" si="59"/>
        <v>0</v>
      </c>
      <c r="I568">
        <f t="shared" si="60"/>
        <v>67.352104787541023</v>
      </c>
      <c r="J568">
        <f t="shared" si="62"/>
        <v>8.1665726914508283E-2</v>
      </c>
      <c r="L568">
        <f t="shared" si="61"/>
        <v>8.1665726914508278E-4</v>
      </c>
    </row>
    <row r="569" spans="1:12" x14ac:dyDescent="0.2">
      <c r="A569" s="2"/>
      <c r="B569" s="2"/>
      <c r="C569" s="2">
        <v>4</v>
      </c>
      <c r="D569" s="7"/>
      <c r="E569">
        <f t="shared" si="57"/>
        <v>92.999999999999716</v>
      </c>
      <c r="F569">
        <f t="shared" si="63"/>
        <v>1.5499999999999952</v>
      </c>
      <c r="G569">
        <f t="shared" si="58"/>
        <v>5.3437393943948745E-2</v>
      </c>
      <c r="H569">
        <f t="shared" si="59"/>
        <v>0</v>
      </c>
      <c r="I569">
        <f t="shared" si="60"/>
        <v>67.352104787541023</v>
      </c>
      <c r="J569">
        <f t="shared" si="62"/>
        <v>7.9340347436081524E-2</v>
      </c>
      <c r="L569">
        <f t="shared" si="61"/>
        <v>7.934034743608152E-4</v>
      </c>
    </row>
    <row r="570" spans="1:12" x14ac:dyDescent="0.2">
      <c r="A570" s="2"/>
      <c r="B570" s="2"/>
      <c r="C570" s="2">
        <v>4</v>
      </c>
      <c r="D570" s="7"/>
      <c r="E570">
        <f t="shared" si="57"/>
        <v>93.166666666666373</v>
      </c>
      <c r="F570">
        <f t="shared" si="63"/>
        <v>1.5527777777777729</v>
      </c>
      <c r="G570">
        <f t="shared" si="58"/>
        <v>5.1915798239695124E-2</v>
      </c>
      <c r="H570">
        <f t="shared" si="59"/>
        <v>0</v>
      </c>
      <c r="I570">
        <f t="shared" si="60"/>
        <v>67.352104787541023</v>
      </c>
      <c r="J570">
        <f t="shared" si="62"/>
        <v>7.7081181654917855E-2</v>
      </c>
      <c r="L570">
        <f t="shared" si="61"/>
        <v>7.7081181654917858E-4</v>
      </c>
    </row>
    <row r="571" spans="1:12" x14ac:dyDescent="0.2">
      <c r="A571" s="2"/>
      <c r="B571" s="2"/>
      <c r="C571" s="2">
        <v>4</v>
      </c>
      <c r="D571" s="7"/>
      <c r="E571">
        <f t="shared" si="57"/>
        <v>93.333333333333044</v>
      </c>
      <c r="F571">
        <f t="shared" si="63"/>
        <v>1.5555555555555507</v>
      </c>
      <c r="G571">
        <f t="shared" si="58"/>
        <v>5.043752900247752E-2</v>
      </c>
      <c r="H571">
        <f t="shared" si="59"/>
        <v>0</v>
      </c>
      <c r="I571">
        <f t="shared" si="60"/>
        <v>67.352104787541023</v>
      </c>
      <c r="J571">
        <f t="shared" si="62"/>
        <v>7.4886344178226177E-2</v>
      </c>
      <c r="L571">
        <f t="shared" si="61"/>
        <v>7.4886344178226182E-4</v>
      </c>
    </row>
    <row r="572" spans="1:12" x14ac:dyDescent="0.2">
      <c r="A572" s="2"/>
      <c r="B572" s="2"/>
      <c r="C572" s="2">
        <v>4</v>
      </c>
      <c r="D572" s="7"/>
      <c r="E572">
        <f t="shared" si="57"/>
        <v>93.499999999999702</v>
      </c>
      <c r="F572">
        <f t="shared" si="63"/>
        <v>1.5583333333333285</v>
      </c>
      <c r="G572">
        <f t="shared" si="58"/>
        <v>4.9001352538785514E-2</v>
      </c>
      <c r="H572">
        <f t="shared" si="59"/>
        <v>0</v>
      </c>
      <c r="I572">
        <f t="shared" si="60"/>
        <v>67.352104787541023</v>
      </c>
      <c r="J572">
        <f t="shared" si="62"/>
        <v>7.2754003298572373E-2</v>
      </c>
      <c r="L572">
        <f t="shared" si="61"/>
        <v>7.2754003298572368E-4</v>
      </c>
    </row>
    <row r="573" spans="1:12" x14ac:dyDescent="0.2">
      <c r="A573" s="2"/>
      <c r="B573" s="2"/>
      <c r="C573" s="2">
        <v>4</v>
      </c>
      <c r="D573" s="7"/>
      <c r="E573">
        <f t="shared" si="57"/>
        <v>93.666666666666373</v>
      </c>
      <c r="F573">
        <f t="shared" si="63"/>
        <v>1.5611111111111062</v>
      </c>
      <c r="G573">
        <f t="shared" si="58"/>
        <v>4.7606070283744403E-2</v>
      </c>
      <c r="H573">
        <f t="shared" si="59"/>
        <v>0</v>
      </c>
      <c r="I573">
        <f t="shared" si="60"/>
        <v>67.352104787541023</v>
      </c>
      <c r="J573">
        <f t="shared" si="62"/>
        <v>7.0682379465223044E-2</v>
      </c>
      <c r="L573">
        <f t="shared" si="61"/>
        <v>7.0682379465223039E-4</v>
      </c>
    </row>
    <row r="574" spans="1:12" x14ac:dyDescent="0.2">
      <c r="A574" s="2"/>
      <c r="B574" s="2"/>
      <c r="C574" s="2">
        <v>4</v>
      </c>
      <c r="D574" s="7"/>
      <c r="E574">
        <f t="shared" si="57"/>
        <v>93.833333333333044</v>
      </c>
      <c r="F574">
        <f t="shared" si="63"/>
        <v>1.563888888888884</v>
      </c>
      <c r="G574">
        <f t="shared" si="58"/>
        <v>4.6250517800849718E-2</v>
      </c>
      <c r="H574">
        <f t="shared" si="59"/>
        <v>0</v>
      </c>
      <c r="I574">
        <f t="shared" si="60"/>
        <v>67.352104787541023</v>
      </c>
      <c r="J574">
        <f t="shared" si="62"/>
        <v>6.8669743799016761E-2</v>
      </c>
      <c r="L574">
        <f t="shared" si="61"/>
        <v>6.8669743799016757E-4</v>
      </c>
    </row>
    <row r="575" spans="1:12" x14ac:dyDescent="0.2">
      <c r="A575" s="2"/>
      <c r="B575" s="2"/>
      <c r="C575" s="2">
        <v>4</v>
      </c>
      <c r="D575" s="7"/>
      <c r="E575">
        <f t="shared" si="57"/>
        <v>93.999999999999702</v>
      </c>
      <c r="F575">
        <f t="shared" si="63"/>
        <v>1.5666666666666618</v>
      </c>
      <c r="G575">
        <f t="shared" si="58"/>
        <v>4.4933563810183645E-2</v>
      </c>
      <c r="H575">
        <f t="shared" si="59"/>
        <v>0</v>
      </c>
      <c r="I575">
        <f t="shared" si="60"/>
        <v>67.352104787541023</v>
      </c>
      <c r="J575">
        <f t="shared" si="62"/>
        <v>6.6714416649523295E-2</v>
      </c>
      <c r="L575">
        <f t="shared" si="61"/>
        <v>6.6714416649523291E-4</v>
      </c>
    </row>
    <row r="576" spans="1:12" x14ac:dyDescent="0.2">
      <c r="A576" s="2"/>
      <c r="B576" s="2"/>
      <c r="C576" s="2">
        <v>4</v>
      </c>
      <c r="D576" s="7"/>
      <c r="E576">
        <f t="shared" si="57"/>
        <v>94.166666666666373</v>
      </c>
      <c r="F576">
        <f t="shared" si="63"/>
        <v>1.5694444444444395</v>
      </c>
      <c r="G576">
        <f t="shared" si="58"/>
        <v>4.3654109244302373E-2</v>
      </c>
      <c r="H576">
        <f t="shared" si="59"/>
        <v>0</v>
      </c>
      <c r="I576">
        <f t="shared" si="60"/>
        <v>67.352104787541023</v>
      </c>
      <c r="J576">
        <f t="shared" si="62"/>
        <v>6.4814766193287007E-2</v>
      </c>
      <c r="L576">
        <f t="shared" si="61"/>
        <v>6.4814766193287002E-4</v>
      </c>
    </row>
    <row r="577" spans="1:12" x14ac:dyDescent="0.2">
      <c r="A577" s="2"/>
      <c r="B577" s="2"/>
      <c r="C577" s="2">
        <v>4</v>
      </c>
      <c r="D577" s="7"/>
      <c r="E577">
        <f t="shared" si="57"/>
        <v>94.333333333333044</v>
      </c>
      <c r="F577">
        <f t="shared" si="63"/>
        <v>1.5722222222222173</v>
      </c>
      <c r="G577">
        <f t="shared" si="58"/>
        <v>4.2411086331006459E-2</v>
      </c>
      <c r="H577">
        <f t="shared" si="59"/>
        <v>0</v>
      </c>
      <c r="I577">
        <f t="shared" si="60"/>
        <v>67.352104787541023</v>
      </c>
      <c r="J577">
        <f t="shared" si="62"/>
        <v>6.2969207071984154E-2</v>
      </c>
      <c r="L577">
        <f t="shared" si="61"/>
        <v>6.296920707198415E-4</v>
      </c>
    </row>
    <row r="578" spans="1:12" x14ac:dyDescent="0.2">
      <c r="A578" s="2"/>
      <c r="B578" s="2"/>
      <c r="C578" s="2">
        <v>4</v>
      </c>
      <c r="D578" s="7"/>
      <c r="E578">
        <f t="shared" si="57"/>
        <v>94.499999999999702</v>
      </c>
      <c r="F578">
        <f t="shared" si="63"/>
        <v>1.5749999999999951</v>
      </c>
      <c r="G578">
        <f t="shared" si="58"/>
        <v>4.1203457702228684E-2</v>
      </c>
      <c r="H578">
        <f t="shared" si="59"/>
        <v>0</v>
      </c>
      <c r="I578">
        <f t="shared" si="60"/>
        <v>67.352104787541023</v>
      </c>
      <c r="J578">
        <f t="shared" si="62"/>
        <v>6.1176199069357985E-2</v>
      </c>
      <c r="L578">
        <f t="shared" si="61"/>
        <v>6.1176199069357985E-4</v>
      </c>
    </row>
    <row r="579" spans="1:12" x14ac:dyDescent="0.2">
      <c r="A579" s="2"/>
      <c r="B579" s="2"/>
      <c r="C579" s="2">
        <v>4</v>
      </c>
      <c r="D579" s="7"/>
      <c r="E579">
        <f t="shared" si="57"/>
        <v>94.666666666666373</v>
      </c>
      <c r="F579">
        <f t="shared" si="63"/>
        <v>1.5777777777777728</v>
      </c>
      <c r="G579">
        <f t="shared" si="58"/>
        <v>4.003021552829579E-2</v>
      </c>
      <c r="H579">
        <f t="shared" si="59"/>
        <v>0</v>
      </c>
      <c r="I579">
        <f t="shared" si="60"/>
        <v>67.352104787541023</v>
      </c>
      <c r="J579">
        <f t="shared" si="62"/>
        <v>5.9434245825827091E-2</v>
      </c>
      <c r="L579">
        <f t="shared" si="61"/>
        <v>5.9434245825827094E-4</v>
      </c>
    </row>
    <row r="580" spans="1:12" x14ac:dyDescent="0.2">
      <c r="A580" s="2"/>
      <c r="B580" s="2"/>
      <c r="C580" s="2">
        <v>4</v>
      </c>
      <c r="D580" s="7"/>
      <c r="E580">
        <f t="shared" si="57"/>
        <v>94.83333333333303</v>
      </c>
      <c r="F580">
        <f t="shared" si="63"/>
        <v>1.5805555555555506</v>
      </c>
      <c r="G580">
        <f t="shared" si="58"/>
        <v>3.8890380676841571E-2</v>
      </c>
      <c r="H580">
        <f t="shared" si="59"/>
        <v>0</v>
      </c>
      <c r="I580">
        <f t="shared" si="60"/>
        <v>67.352104787541023</v>
      </c>
      <c r="J580">
        <f t="shared" si="62"/>
        <v>5.7741893589694643E-2</v>
      </c>
      <c r="L580">
        <f t="shared" si="61"/>
        <v>5.7741893589694643E-4</v>
      </c>
    </row>
    <row r="581" spans="1:12" x14ac:dyDescent="0.2">
      <c r="A581" s="2"/>
      <c r="B581" s="2"/>
      <c r="C581" s="2">
        <v>4</v>
      </c>
      <c r="D581" s="7"/>
      <c r="E581">
        <f t="shared" si="57"/>
        <v>94.999999999999702</v>
      </c>
      <c r="F581">
        <f t="shared" si="63"/>
        <v>1.5833333333333284</v>
      </c>
      <c r="G581">
        <f t="shared" si="58"/>
        <v>3.7783001895669348E-2</v>
      </c>
      <c r="H581">
        <f t="shared" si="59"/>
        <v>0</v>
      </c>
      <c r="I581">
        <f t="shared" si="60"/>
        <v>67.352104787541023</v>
      </c>
      <c r="J581">
        <f t="shared" si="62"/>
        <v>5.6097730003916005E-2</v>
      </c>
      <c r="L581">
        <f t="shared" si="61"/>
        <v>5.6097730003916001E-4</v>
      </c>
    </row>
    <row r="582" spans="1:12" x14ac:dyDescent="0.2">
      <c r="A582" s="2"/>
      <c r="B582" s="2"/>
      <c r="C582" s="2">
        <v>4</v>
      </c>
      <c r="D582" s="7"/>
      <c r="E582">
        <f t="shared" si="57"/>
        <v>95.166666666666373</v>
      </c>
      <c r="F582">
        <f t="shared" si="63"/>
        <v>1.5861111111111061</v>
      </c>
      <c r="G582">
        <f t="shared" si="58"/>
        <v>3.6707155018881915E-2</v>
      </c>
      <c r="H582">
        <f t="shared" si="59"/>
        <v>0</v>
      </c>
      <c r="I582">
        <f t="shared" si="60"/>
        <v>67.352104787541023</v>
      </c>
      <c r="J582">
        <f t="shared" si="62"/>
        <v>5.4500382927412397E-2</v>
      </c>
      <c r="L582">
        <f t="shared" si="61"/>
        <v>5.4500382927412394E-4</v>
      </c>
    </row>
    <row r="583" spans="1:12" x14ac:dyDescent="0.2">
      <c r="A583" s="2"/>
      <c r="B583" s="2"/>
      <c r="C583" s="2">
        <v>4</v>
      </c>
      <c r="D583" s="7"/>
      <c r="E583">
        <f t="shared" si="57"/>
        <v>95.33333333333303</v>
      </c>
      <c r="F583">
        <f t="shared" si="63"/>
        <v>1.5888888888888839</v>
      </c>
      <c r="G583">
        <f t="shared" si="58"/>
        <v>3.5661942195616469E-2</v>
      </c>
      <c r="H583">
        <f t="shared" si="59"/>
        <v>0</v>
      </c>
      <c r="I583">
        <f t="shared" si="60"/>
        <v>67.352104787541023</v>
      </c>
      <c r="J583">
        <f t="shared" si="62"/>
        <v>5.2948519289946996E-2</v>
      </c>
      <c r="L583">
        <f t="shared" si="61"/>
        <v>5.2948519289946995E-4</v>
      </c>
    </row>
    <row r="584" spans="1:12" x14ac:dyDescent="0.2">
      <c r="A584" s="2"/>
      <c r="B584" s="2"/>
      <c r="C584" s="2">
        <v>4</v>
      </c>
      <c r="D584" s="7"/>
      <c r="E584">
        <f t="shared" si="57"/>
        <v>95.499999999999702</v>
      </c>
      <c r="F584">
        <f t="shared" si="63"/>
        <v>1.5916666666666617</v>
      </c>
      <c r="G584">
        <f t="shared" si="58"/>
        <v>3.4646491140740775E-2</v>
      </c>
      <c r="H584">
        <f t="shared" si="59"/>
        <v>0</v>
      </c>
      <c r="I584">
        <f t="shared" si="60"/>
        <v>67.352104787541023</v>
      </c>
      <c r="J584">
        <f t="shared" si="62"/>
        <v>5.1440843979607569E-2</v>
      </c>
      <c r="L584">
        <f t="shared" si="61"/>
        <v>5.144084397960757E-4</v>
      </c>
    </row>
    <row r="585" spans="1:12" x14ac:dyDescent="0.2">
      <c r="A585" s="2"/>
      <c r="B585" s="2"/>
      <c r="C585" s="2">
        <v>4</v>
      </c>
      <c r="D585" s="7"/>
      <c r="E585">
        <f t="shared" si="57"/>
        <v>95.666666666666373</v>
      </c>
      <c r="F585">
        <f t="shared" si="63"/>
        <v>1.5944444444444394</v>
      </c>
      <c r="G585">
        <f t="shared" si="58"/>
        <v>3.3659954406885288E-2</v>
      </c>
      <c r="H585">
        <f t="shared" si="59"/>
        <v>0</v>
      </c>
      <c r="I585">
        <f t="shared" si="60"/>
        <v>67.352104787541023</v>
      </c>
      <c r="J585">
        <f t="shared" si="62"/>
        <v>4.9976098761967423E-2</v>
      </c>
      <c r="L585">
        <f t="shared" si="61"/>
        <v>4.9976098761967422E-4</v>
      </c>
    </row>
    <row r="586" spans="1:12" x14ac:dyDescent="0.2">
      <c r="A586" s="2"/>
      <c r="B586" s="2"/>
      <c r="C586" s="2">
        <v>4</v>
      </c>
      <c r="D586" s="7"/>
      <c r="E586">
        <f t="shared" si="57"/>
        <v>95.83333333333303</v>
      </c>
      <c r="F586">
        <f t="shared" si="63"/>
        <v>1.5972222222222172</v>
      </c>
      <c r="G586">
        <f t="shared" si="58"/>
        <v>3.2701508677203721E-2</v>
      </c>
      <c r="H586">
        <f t="shared" si="59"/>
        <v>0</v>
      </c>
      <c r="I586">
        <f t="shared" si="60"/>
        <v>67.352104787541023</v>
      </c>
      <c r="J586">
        <f t="shared" si="62"/>
        <v>4.8553061230022516E-2</v>
      </c>
      <c r="L586">
        <f t="shared" si="61"/>
        <v>4.8553061230022514E-4</v>
      </c>
    </row>
    <row r="587" spans="1:12" x14ac:dyDescent="0.2">
      <c r="A587" s="2"/>
      <c r="B587" s="2"/>
      <c r="C587" s="2">
        <v>4</v>
      </c>
      <c r="D587" s="7"/>
      <c r="E587">
        <f t="shared" si="57"/>
        <v>95.999999999999702</v>
      </c>
      <c r="F587">
        <f t="shared" si="63"/>
        <v>1.599999999999995</v>
      </c>
      <c r="G587">
        <f t="shared" si="58"/>
        <v>3.1770354078271786E-2</v>
      </c>
      <c r="H587">
        <f t="shared" si="59"/>
        <v>0</v>
      </c>
      <c r="I587">
        <f t="shared" si="60"/>
        <v>67.352104787541023</v>
      </c>
      <c r="J587">
        <f t="shared" si="62"/>
        <v>4.7170543784028483E-2</v>
      </c>
      <c r="L587">
        <f t="shared" si="61"/>
        <v>4.7170543784028486E-4</v>
      </c>
    </row>
    <row r="588" spans="1:12" x14ac:dyDescent="0.2">
      <c r="A588" s="2"/>
      <c r="B588" s="2"/>
      <c r="C588" s="2">
        <v>4</v>
      </c>
      <c r="D588" s="7"/>
      <c r="E588">
        <f t="shared" ref="E588:E651" si="64">F588*60</f>
        <v>96.166666666666359</v>
      </c>
      <c r="F588">
        <f t="shared" si="63"/>
        <v>1.6027777777777727</v>
      </c>
      <c r="G588">
        <f t="shared" ref="G588:G651" si="65">Tsamp*$D588*G$3/G$5+G$8*G587</f>
        <v>3.0865713512550692E-2</v>
      </c>
      <c r="H588">
        <f t="shared" ref="H588:H651" si="66">$D588*$G$3/$G$6</f>
        <v>0</v>
      </c>
      <c r="I588">
        <f t="shared" ref="I588:I651" si="67">Tsamp*32*$G$3/($G$5*(1-$G$8))</f>
        <v>67.352104787541023</v>
      </c>
      <c r="J588">
        <f t="shared" si="62"/>
        <v>4.5827392640386079E-2</v>
      </c>
      <c r="L588">
        <f t="shared" ref="L588:L651" si="68">$J588/100</f>
        <v>4.5827392640386078E-4</v>
      </c>
    </row>
    <row r="589" spans="1:12" x14ac:dyDescent="0.2">
      <c r="A589" s="2"/>
      <c r="B589" s="2"/>
      <c r="C589" s="2">
        <v>4</v>
      </c>
      <c r="D589" s="7"/>
      <c r="E589">
        <f t="shared" si="64"/>
        <v>96.33333333333303</v>
      </c>
      <c r="F589">
        <f t="shared" si="63"/>
        <v>1.6055555555555505</v>
      </c>
      <c r="G589">
        <f t="shared" si="65"/>
        <v>2.9986832009858355E-2</v>
      </c>
      <c r="H589">
        <f t="shared" si="66"/>
        <v>0</v>
      </c>
      <c r="I589">
        <f t="shared" si="67"/>
        <v>67.352104787541023</v>
      </c>
      <c r="J589">
        <f t="shared" ref="J589:J652" si="69">$G589/$I589*100</f>
        <v>4.4522486868748018E-2</v>
      </c>
      <c r="L589">
        <f t="shared" si="68"/>
        <v>4.4522486868748016E-4</v>
      </c>
    </row>
    <row r="590" spans="1:12" x14ac:dyDescent="0.2">
      <c r="A590" s="2"/>
      <c r="B590" s="2"/>
      <c r="C590" s="2">
        <v>4</v>
      </c>
      <c r="D590" s="7"/>
      <c r="E590">
        <f t="shared" si="64"/>
        <v>96.499999999999702</v>
      </c>
      <c r="F590">
        <f t="shared" si="63"/>
        <v>1.6083333333333283</v>
      </c>
      <c r="G590">
        <f t="shared" si="65"/>
        <v>2.9132976097307025E-2</v>
      </c>
      <c r="H590">
        <f t="shared" si="66"/>
        <v>0</v>
      </c>
      <c r="I590">
        <f t="shared" si="67"/>
        <v>67.352104787541023</v>
      </c>
      <c r="J590">
        <f t="shared" si="69"/>
        <v>4.3254737456543631E-2</v>
      </c>
      <c r="L590">
        <f t="shared" si="68"/>
        <v>4.3254737456543632E-4</v>
      </c>
    </row>
    <row r="591" spans="1:12" x14ac:dyDescent="0.2">
      <c r="A591" s="2"/>
      <c r="B591" s="2"/>
      <c r="C591" s="2">
        <v>4</v>
      </c>
      <c r="D591" s="7"/>
      <c r="E591">
        <f t="shared" si="64"/>
        <v>96.666666666666359</v>
      </c>
      <c r="F591">
        <f t="shared" si="63"/>
        <v>1.6111111111111061</v>
      </c>
      <c r="G591">
        <f t="shared" si="65"/>
        <v>2.830343318718153E-2</v>
      </c>
      <c r="H591">
        <f t="shared" si="66"/>
        <v>0</v>
      </c>
      <c r="I591">
        <f t="shared" si="67"/>
        <v>67.352104787541023</v>
      </c>
      <c r="J591">
        <f t="shared" si="69"/>
        <v>4.2023086400140498E-2</v>
      </c>
      <c r="L591">
        <f t="shared" si="68"/>
        <v>4.2023086400140499E-4</v>
      </c>
    </row>
    <row r="592" spans="1:12" x14ac:dyDescent="0.2">
      <c r="A592" s="2"/>
      <c r="B592" s="2"/>
      <c r="C592" s="2">
        <v>4</v>
      </c>
      <c r="D592" s="7"/>
      <c r="E592">
        <f t="shared" si="64"/>
        <v>96.83333333333303</v>
      </c>
      <c r="F592">
        <f t="shared" si="63"/>
        <v>1.6138888888888838</v>
      </c>
      <c r="G592">
        <f t="shared" si="65"/>
        <v>2.7497510982247328E-2</v>
      </c>
      <c r="H592">
        <f t="shared" si="66"/>
        <v>0</v>
      </c>
      <c r="I592">
        <f t="shared" si="67"/>
        <v>67.352104787541023</v>
      </c>
      <c r="J592">
        <f t="shared" si="69"/>
        <v>4.0826505821884712E-2</v>
      </c>
      <c r="L592">
        <f t="shared" si="68"/>
        <v>4.0826505821884711E-4</v>
      </c>
    </row>
    <row r="593" spans="1:12" x14ac:dyDescent="0.2">
      <c r="A593" s="2"/>
      <c r="B593" s="2"/>
      <c r="C593" s="2">
        <v>4</v>
      </c>
      <c r="D593" s="7"/>
      <c r="E593">
        <f t="shared" si="64"/>
        <v>96.999999999999702</v>
      </c>
      <c r="F593">
        <f t="shared" si="63"/>
        <v>1.6166666666666616</v>
      </c>
      <c r="G593">
        <f t="shared" si="65"/>
        <v>2.6714536897992004E-2</v>
      </c>
      <c r="H593">
        <f t="shared" si="66"/>
        <v>0</v>
      </c>
      <c r="I593">
        <f t="shared" si="67"/>
        <v>67.352104787541023</v>
      </c>
      <c r="J593">
        <f t="shared" si="69"/>
        <v>3.966399711228287E-2</v>
      </c>
      <c r="L593">
        <f t="shared" si="68"/>
        <v>3.966399711228287E-4</v>
      </c>
    </row>
    <row r="594" spans="1:12" x14ac:dyDescent="0.2">
      <c r="A594" s="2"/>
      <c r="B594" s="2"/>
      <c r="C594" s="2">
        <v>4</v>
      </c>
      <c r="D594" s="7"/>
      <c r="E594">
        <f t="shared" si="64"/>
        <v>97.166666666666359</v>
      </c>
      <c r="F594">
        <f t="shared" si="63"/>
        <v>1.6194444444444394</v>
      </c>
      <c r="G594">
        <f t="shared" si="65"/>
        <v>2.5953857501318085E-2</v>
      </c>
      <c r="H594">
        <f t="shared" si="66"/>
        <v>0</v>
      </c>
      <c r="I594">
        <f t="shared" si="67"/>
        <v>67.352104787541023</v>
      </c>
      <c r="J594">
        <f t="shared" si="69"/>
        <v>3.8534590096609873E-2</v>
      </c>
      <c r="L594">
        <f t="shared" si="68"/>
        <v>3.8534590096609876E-4</v>
      </c>
    </row>
    <row r="595" spans="1:12" x14ac:dyDescent="0.2">
      <c r="A595" s="2"/>
      <c r="B595" s="2"/>
      <c r="C595" s="2">
        <v>4</v>
      </c>
      <c r="D595" s="7"/>
      <c r="E595">
        <f t="shared" si="64"/>
        <v>97.33333333333303</v>
      </c>
      <c r="F595">
        <f t="shared" si="63"/>
        <v>1.6222222222222171</v>
      </c>
      <c r="G595">
        <f t="shared" si="65"/>
        <v>2.5214837965218718E-2</v>
      </c>
      <c r="H595">
        <f t="shared" si="66"/>
        <v>0</v>
      </c>
      <c r="I595">
        <f t="shared" si="67"/>
        <v>67.352104787541023</v>
      </c>
      <c r="J595">
        <f t="shared" si="69"/>
        <v>3.7437342225247021E-2</v>
      </c>
      <c r="L595">
        <f t="shared" si="68"/>
        <v>3.7437342225247019E-4</v>
      </c>
    </row>
    <row r="596" spans="1:12" x14ac:dyDescent="0.2">
      <c r="A596" s="2"/>
      <c r="B596" s="2"/>
      <c r="C596" s="2">
        <v>4</v>
      </c>
      <c r="D596" s="7"/>
      <c r="E596">
        <f t="shared" si="64"/>
        <v>97.499999999999687</v>
      </c>
      <c r="F596">
        <f t="shared" si="63"/>
        <v>1.6249999999999949</v>
      </c>
      <c r="G596">
        <f t="shared" si="65"/>
        <v>2.4496861538981105E-2</v>
      </c>
      <c r="H596">
        <f t="shared" si="66"/>
        <v>0</v>
      </c>
      <c r="I596">
        <f t="shared" si="67"/>
        <v>67.352104787541023</v>
      </c>
      <c r="J596">
        <f t="shared" si="69"/>
        <v>3.637133778707477E-2</v>
      </c>
      <c r="L596">
        <f t="shared" si="68"/>
        <v>3.637133778707477E-4</v>
      </c>
    </row>
    <row r="597" spans="1:12" x14ac:dyDescent="0.2">
      <c r="A597" s="2"/>
      <c r="B597" s="2"/>
      <c r="C597" s="2">
        <v>4</v>
      </c>
      <c r="D597" s="7"/>
      <c r="E597">
        <f t="shared" si="64"/>
        <v>97.666666666666359</v>
      </c>
      <c r="F597">
        <f t="shared" si="63"/>
        <v>1.6277777777777727</v>
      </c>
      <c r="G597">
        <f t="shared" si="65"/>
        <v>2.379932903347556E-2</v>
      </c>
      <c r="H597">
        <f t="shared" si="66"/>
        <v>0</v>
      </c>
      <c r="I597">
        <f t="shared" si="67"/>
        <v>67.352104787541023</v>
      </c>
      <c r="J597">
        <f t="shared" si="69"/>
        <v>3.5335687145263535E-2</v>
      </c>
      <c r="L597">
        <f t="shared" si="68"/>
        <v>3.5335687145263535E-4</v>
      </c>
    </row>
    <row r="598" spans="1:12" x14ac:dyDescent="0.2">
      <c r="A598" s="2"/>
      <c r="B598" s="2"/>
      <c r="C598" s="2">
        <v>4</v>
      </c>
      <c r="D598" s="7"/>
      <c r="E598">
        <f t="shared" si="64"/>
        <v>97.83333333333303</v>
      </c>
      <c r="F598">
        <f t="shared" si="63"/>
        <v>1.6305555555555504</v>
      </c>
      <c r="G598">
        <f t="shared" si="65"/>
        <v>2.3121658321100642E-2</v>
      </c>
      <c r="H598">
        <f t="shared" si="66"/>
        <v>0</v>
      </c>
      <c r="I598">
        <f t="shared" si="67"/>
        <v>67.352104787541023</v>
      </c>
      <c r="J598">
        <f t="shared" si="69"/>
        <v>3.4329525994824958E-2</v>
      </c>
      <c r="L598">
        <f t="shared" si="68"/>
        <v>3.4329525994824958E-4</v>
      </c>
    </row>
    <row r="599" spans="1:12" x14ac:dyDescent="0.2">
      <c r="A599" s="2"/>
      <c r="B599" s="2"/>
      <c r="C599" s="2">
        <v>4</v>
      </c>
      <c r="D599" s="7"/>
      <c r="E599">
        <f t="shared" si="64"/>
        <v>97.999999999999687</v>
      </c>
      <c r="F599">
        <f t="shared" si="63"/>
        <v>1.6333333333333282</v>
      </c>
      <c r="G599">
        <f t="shared" si="65"/>
        <v>2.2463283849967014E-2</v>
      </c>
      <c r="H599">
        <f t="shared" si="66"/>
        <v>0</v>
      </c>
      <c r="I599">
        <f t="shared" si="67"/>
        <v>67.352104787541023</v>
      </c>
      <c r="J599">
        <f t="shared" si="69"/>
        <v>3.3352014641303884E-2</v>
      </c>
      <c r="L599">
        <f t="shared" si="68"/>
        <v>3.3352014641303883E-4</v>
      </c>
    </row>
    <row r="600" spans="1:12" x14ac:dyDescent="0.2">
      <c r="A600" s="2"/>
      <c r="B600" s="2"/>
      <c r="C600" s="2">
        <v>4</v>
      </c>
      <c r="D600" s="7"/>
      <c r="E600">
        <f t="shared" si="64"/>
        <v>98.166666666666359</v>
      </c>
      <c r="F600">
        <f t="shared" si="63"/>
        <v>1.636111111111106</v>
      </c>
      <c r="G600">
        <f t="shared" si="65"/>
        <v>2.1823656171914611E-2</v>
      </c>
      <c r="H600">
        <f t="shared" si="66"/>
        <v>0</v>
      </c>
      <c r="I600">
        <f t="shared" si="67"/>
        <v>67.352104787541023</v>
      </c>
      <c r="J600">
        <f t="shared" si="69"/>
        <v>3.240233730000909E-2</v>
      </c>
      <c r="L600">
        <f t="shared" si="68"/>
        <v>3.2402337300009088E-4</v>
      </c>
    </row>
    <row r="601" spans="1:12" x14ac:dyDescent="0.2">
      <c r="A601" s="2"/>
      <c r="B601" s="2"/>
      <c r="C601" s="2">
        <v>4</v>
      </c>
      <c r="D601" s="7"/>
      <c r="E601">
        <f t="shared" si="64"/>
        <v>98.33333333333303</v>
      </c>
      <c r="F601">
        <f t="shared" si="63"/>
        <v>1.6388888888888837</v>
      </c>
      <c r="G601">
        <f t="shared" si="65"/>
        <v>2.1202241483969233E-2</v>
      </c>
      <c r="H601">
        <f t="shared" si="66"/>
        <v>0</v>
      </c>
      <c r="I601">
        <f t="shared" si="67"/>
        <v>67.352104787541023</v>
      </c>
      <c r="J601">
        <f t="shared" si="69"/>
        <v>3.1479701415198062E-2</v>
      </c>
      <c r="L601">
        <f t="shared" si="68"/>
        <v>3.147970141519806E-4</v>
      </c>
    </row>
    <row r="602" spans="1:12" x14ac:dyDescent="0.2">
      <c r="A602" s="2"/>
      <c r="B602" s="2"/>
      <c r="C602" s="2">
        <v>4</v>
      </c>
      <c r="D602" s="7"/>
      <c r="E602">
        <f t="shared" si="64"/>
        <v>98.499999999999687</v>
      </c>
      <c r="F602">
        <f t="shared" si="63"/>
        <v>1.6416666666666615</v>
      </c>
      <c r="G602">
        <f t="shared" si="65"/>
        <v>2.0598521182855847E-2</v>
      </c>
      <c r="H602">
        <f t="shared" si="66"/>
        <v>0</v>
      </c>
      <c r="I602">
        <f t="shared" si="67"/>
        <v>67.352104787541023</v>
      </c>
      <c r="J602">
        <f t="shared" si="69"/>
        <v>3.0583336998647469E-2</v>
      </c>
      <c r="L602">
        <f t="shared" si="68"/>
        <v>3.0583336998647471E-4</v>
      </c>
    </row>
    <row r="603" spans="1:12" x14ac:dyDescent="0.2">
      <c r="A603" s="2"/>
      <c r="B603" s="2"/>
      <c r="C603" s="2">
        <v>4</v>
      </c>
      <c r="D603" s="7"/>
      <c r="E603">
        <f t="shared" si="64"/>
        <v>98.666666666666359</v>
      </c>
      <c r="F603">
        <f t="shared" si="63"/>
        <v>1.6444444444444393</v>
      </c>
      <c r="G603">
        <f t="shared" si="65"/>
        <v>2.0011991432196855E-2</v>
      </c>
      <c r="H603">
        <f t="shared" si="66"/>
        <v>0</v>
      </c>
      <c r="I603">
        <f t="shared" si="67"/>
        <v>67.352104787541023</v>
      </c>
      <c r="J603">
        <f t="shared" si="69"/>
        <v>2.9712495987057448E-2</v>
      </c>
      <c r="L603">
        <f t="shared" si="68"/>
        <v>2.9712495987057447E-4</v>
      </c>
    </row>
    <row r="604" spans="1:12" x14ac:dyDescent="0.2">
      <c r="A604" s="2"/>
      <c r="B604" s="2"/>
      <c r="C604" s="2">
        <v>4</v>
      </c>
      <c r="D604" s="7"/>
      <c r="E604">
        <f t="shared" si="64"/>
        <v>98.833333333333016</v>
      </c>
      <c r="F604">
        <f t="shared" si="63"/>
        <v>1.647222222222217</v>
      </c>
      <c r="G604">
        <f t="shared" si="65"/>
        <v>1.944216274203411E-2</v>
      </c>
      <c r="H604">
        <f t="shared" si="66"/>
        <v>0</v>
      </c>
      <c r="I604">
        <f t="shared" si="67"/>
        <v>67.352104787541023</v>
      </c>
      <c r="J604">
        <f t="shared" si="69"/>
        <v>2.8866451617753416E-2</v>
      </c>
      <c r="L604">
        <f t="shared" si="68"/>
        <v>2.8866451617753415E-4</v>
      </c>
    </row>
    <row r="605" spans="1:12" x14ac:dyDescent="0.2">
      <c r="A605" s="2"/>
      <c r="B605" s="2"/>
      <c r="C605" s="2">
        <v>4</v>
      </c>
      <c r="D605" s="7"/>
      <c r="E605">
        <f t="shared" si="64"/>
        <v>98.999999999999687</v>
      </c>
      <c r="F605">
        <f t="shared" si="63"/>
        <v>1.6499999999999948</v>
      </c>
      <c r="G605">
        <f t="shared" si="65"/>
        <v>1.8888559560323769E-2</v>
      </c>
      <c r="H605">
        <f t="shared" si="66"/>
        <v>0</v>
      </c>
      <c r="I605">
        <f t="shared" si="67"/>
        <v>67.352104787541023</v>
      </c>
      <c r="J605">
        <f t="shared" si="69"/>
        <v>2.8044497822164314E-2</v>
      </c>
      <c r="L605">
        <f t="shared" si="68"/>
        <v>2.8044497822164315E-4</v>
      </c>
    </row>
    <row r="606" spans="1:12" x14ac:dyDescent="0.2">
      <c r="A606" s="2"/>
      <c r="B606" s="2"/>
      <c r="C606" s="2">
        <v>4</v>
      </c>
      <c r="D606" s="7"/>
      <c r="E606">
        <f t="shared" si="64"/>
        <v>99.166666666666359</v>
      </c>
      <c r="F606">
        <f t="shared" si="63"/>
        <v>1.6527777777777726</v>
      </c>
      <c r="G606">
        <f t="shared" si="65"/>
        <v>1.8350719876063085E-2</v>
      </c>
      <c r="H606">
        <f t="shared" si="66"/>
        <v>0</v>
      </c>
      <c r="I606">
        <f t="shared" si="67"/>
        <v>67.352104787541023</v>
      </c>
      <c r="J606">
        <f t="shared" si="69"/>
        <v>2.724594863657127E-2</v>
      </c>
      <c r="L606">
        <f t="shared" si="68"/>
        <v>2.7245948636571269E-4</v>
      </c>
    </row>
    <row r="607" spans="1:12" x14ac:dyDescent="0.2">
      <c r="A607" s="2"/>
      <c r="B607" s="2"/>
      <c r="C607" s="2">
        <v>4</v>
      </c>
      <c r="D607" s="7"/>
      <c r="E607">
        <f t="shared" si="64"/>
        <v>99.333333333333016</v>
      </c>
      <c r="F607">
        <f t="shared" si="63"/>
        <v>1.6555555555555503</v>
      </c>
      <c r="G607">
        <f t="shared" si="65"/>
        <v>1.7828194833717882E-2</v>
      </c>
      <c r="H607">
        <f t="shared" si="66"/>
        <v>0</v>
      </c>
      <c r="I607">
        <f t="shared" si="67"/>
        <v>67.352104787541023</v>
      </c>
      <c r="J607">
        <f t="shared" si="69"/>
        <v>2.6470137629634682E-2</v>
      </c>
      <c r="L607">
        <f t="shared" si="68"/>
        <v>2.6470137629634684E-4</v>
      </c>
    </row>
    <row r="608" spans="1:12" x14ac:dyDescent="0.2">
      <c r="A608" s="2"/>
      <c r="B608" s="2"/>
      <c r="C608" s="2">
        <v>4</v>
      </c>
      <c r="D608" s="7"/>
      <c r="E608">
        <f t="shared" si="64"/>
        <v>99.499999999999687</v>
      </c>
      <c r="F608">
        <f t="shared" si="63"/>
        <v>1.6583333333333281</v>
      </c>
      <c r="G608">
        <f t="shared" si="65"/>
        <v>1.7320548358628996E-2</v>
      </c>
      <c r="H608">
        <f t="shared" si="66"/>
        <v>0</v>
      </c>
      <c r="I608">
        <f t="shared" si="67"/>
        <v>67.352104787541023</v>
      </c>
      <c r="J608">
        <f t="shared" si="69"/>
        <v>2.5716417346222264E-2</v>
      </c>
      <c r="L608">
        <f t="shared" si="68"/>
        <v>2.5716417346222266E-4</v>
      </c>
    </row>
    <row r="609" spans="1:12" x14ac:dyDescent="0.2">
      <c r="A609" s="2"/>
      <c r="B609" s="2"/>
      <c r="C609" s="2">
        <v>4</v>
      </c>
      <c r="D609" s="7"/>
      <c r="E609">
        <f t="shared" si="64"/>
        <v>99.666666666666359</v>
      </c>
      <c r="F609">
        <f t="shared" si="63"/>
        <v>1.6611111111111059</v>
      </c>
      <c r="G609">
        <f t="shared" si="65"/>
        <v>1.6827356793085009E-2</v>
      </c>
      <c r="H609">
        <f t="shared" si="66"/>
        <v>0</v>
      </c>
      <c r="I609">
        <f t="shared" si="67"/>
        <v>67.352104787541023</v>
      </c>
      <c r="J609">
        <f t="shared" si="69"/>
        <v>2.4984158767073571E-2</v>
      </c>
      <c r="L609">
        <f t="shared" si="68"/>
        <v>2.4984158767073569E-4</v>
      </c>
    </row>
    <row r="610" spans="1:12" x14ac:dyDescent="0.2">
      <c r="A610" s="2"/>
      <c r="B610" s="2"/>
      <c r="C610" s="2">
        <v>4</v>
      </c>
      <c r="D610" s="7"/>
      <c r="E610">
        <f t="shared" si="64"/>
        <v>99.833333333333016</v>
      </c>
      <c r="F610">
        <f t="shared" si="63"/>
        <v>1.6638888888888836</v>
      </c>
      <c r="G610">
        <f t="shared" si="65"/>
        <v>1.6348208542757571E-2</v>
      </c>
      <c r="H610">
        <f t="shared" si="66"/>
        <v>0</v>
      </c>
      <c r="I610">
        <f t="shared" si="67"/>
        <v>67.352104787541023</v>
      </c>
      <c r="J610">
        <f t="shared" si="69"/>
        <v>2.4272750783850345E-2</v>
      </c>
      <c r="L610">
        <f t="shared" si="68"/>
        <v>2.4272750783850344E-4</v>
      </c>
    </row>
    <row r="611" spans="1:12" x14ac:dyDescent="0.2">
      <c r="A611" s="2"/>
      <c r="B611" s="2"/>
      <c r="C611" s="2">
        <v>4</v>
      </c>
      <c r="D611" s="7"/>
      <c r="E611">
        <f t="shared" si="64"/>
        <v>99.999999999999687</v>
      </c>
      <c r="F611">
        <f t="shared" si="63"/>
        <v>1.6666666666666614</v>
      </c>
      <c r="G611">
        <f t="shared" si="65"/>
        <v>1.5882703733204277E-2</v>
      </c>
      <c r="H611">
        <f t="shared" si="66"/>
        <v>0</v>
      </c>
      <c r="I611">
        <f t="shared" si="67"/>
        <v>67.352104787541023</v>
      </c>
      <c r="J611">
        <f t="shared" si="69"/>
        <v>2.3581599689134442E-2</v>
      </c>
      <c r="L611">
        <f t="shared" si="68"/>
        <v>2.3581599689134443E-4</v>
      </c>
    </row>
    <row r="612" spans="1:12" x14ac:dyDescent="0.2">
      <c r="A612" s="2"/>
      <c r="B612" s="2"/>
      <c r="C612" s="2">
        <v>2</v>
      </c>
      <c r="D612" s="7"/>
      <c r="E612">
        <f t="shared" si="64"/>
        <v>100.16666666666634</v>
      </c>
      <c r="F612">
        <f t="shared" si="63"/>
        <v>1.6694444444444392</v>
      </c>
      <c r="G612">
        <f t="shared" si="65"/>
        <v>1.5430453876152384E-2</v>
      </c>
      <c r="H612">
        <f t="shared" si="66"/>
        <v>0</v>
      </c>
      <c r="I612">
        <f t="shared" si="67"/>
        <v>67.352104787541023</v>
      </c>
      <c r="J612">
        <f t="shared" si="69"/>
        <v>2.2910128680947696E-2</v>
      </c>
      <c r="L612">
        <f t="shared" si="68"/>
        <v>2.2910128680947697E-4</v>
      </c>
    </row>
    <row r="613" spans="1:12" x14ac:dyDescent="0.2">
      <c r="A613" s="2"/>
      <c r="B613" s="2"/>
      <c r="C613" s="2">
        <v>2</v>
      </c>
      <c r="D613" s="7"/>
      <c r="E613">
        <f t="shared" si="64"/>
        <v>100.33333333333302</v>
      </c>
      <c r="F613">
        <f t="shared" si="63"/>
        <v>1.6722222222222169</v>
      </c>
      <c r="G613">
        <f t="shared" si="65"/>
        <v>1.4991081545284893E-2</v>
      </c>
      <c r="H613">
        <f t="shared" si="66"/>
        <v>0</v>
      </c>
      <c r="I613">
        <f t="shared" si="67"/>
        <v>67.352104787541023</v>
      </c>
      <c r="J613">
        <f t="shared" si="69"/>
        <v>2.2257777381380343E-2</v>
      </c>
      <c r="L613">
        <f t="shared" si="68"/>
        <v>2.2257777381380343E-4</v>
      </c>
    </row>
    <row r="614" spans="1:12" x14ac:dyDescent="0.2">
      <c r="A614" s="2"/>
      <c r="B614" s="2"/>
      <c r="C614" s="2">
        <v>2</v>
      </c>
      <c r="D614" s="7"/>
      <c r="E614">
        <f t="shared" si="64"/>
        <v>100.49999999999969</v>
      </c>
      <c r="F614">
        <f t="shared" si="63"/>
        <v>1.6749999999999947</v>
      </c>
      <c r="G614">
        <f t="shared" si="65"/>
        <v>1.4564220061258421E-2</v>
      </c>
      <c r="H614">
        <f t="shared" si="66"/>
        <v>0</v>
      </c>
      <c r="I614">
        <f t="shared" si="67"/>
        <v>67.352104787541023</v>
      </c>
      <c r="J614">
        <f t="shared" si="69"/>
        <v>2.1624001368926112E-2</v>
      </c>
      <c r="L614">
        <f t="shared" si="68"/>
        <v>2.1624001368926113E-4</v>
      </c>
    </row>
    <row r="615" spans="1:12" x14ac:dyDescent="0.2">
      <c r="A615" s="2"/>
      <c r="B615" s="2"/>
      <c r="C615" s="2">
        <v>2</v>
      </c>
      <c r="D615" s="7"/>
      <c r="E615">
        <f t="shared" si="64"/>
        <v>100.66666666666634</v>
      </c>
      <c r="F615">
        <f t="shared" si="63"/>
        <v>1.6777777777777725</v>
      </c>
      <c r="G615">
        <f t="shared" si="65"/>
        <v>1.4149513185689975E-2</v>
      </c>
      <c r="H615">
        <f t="shared" si="66"/>
        <v>0</v>
      </c>
      <c r="I615">
        <f t="shared" si="67"/>
        <v>67.352104787541023</v>
      </c>
      <c r="J615">
        <f t="shared" si="69"/>
        <v>2.1008271724133838E-2</v>
      </c>
      <c r="L615">
        <f t="shared" si="68"/>
        <v>2.1008271724133837E-4</v>
      </c>
    </row>
    <row r="616" spans="1:12" x14ac:dyDescent="0.2">
      <c r="A616" s="2"/>
      <c r="B616" s="2"/>
      <c r="C616" s="2">
        <v>2</v>
      </c>
      <c r="D616" s="7"/>
      <c r="E616">
        <f t="shared" si="64"/>
        <v>100.83333333333302</v>
      </c>
      <c r="F616">
        <f t="shared" si="63"/>
        <v>1.6805555555555503</v>
      </c>
      <c r="G616">
        <f t="shared" si="65"/>
        <v>1.3746614823857271E-2</v>
      </c>
      <c r="H616">
        <f t="shared" si="66"/>
        <v>0</v>
      </c>
      <c r="I616">
        <f t="shared" si="67"/>
        <v>67.352104787541023</v>
      </c>
      <c r="J616">
        <f t="shared" si="69"/>
        <v>2.0410074588196325E-2</v>
      </c>
      <c r="L616">
        <f t="shared" si="68"/>
        <v>2.0410074588196326E-4</v>
      </c>
    </row>
    <row r="617" spans="1:12" x14ac:dyDescent="0.2">
      <c r="A617" s="2"/>
      <c r="B617" s="2"/>
      <c r="C617" s="2">
        <v>2</v>
      </c>
      <c r="D617" s="7"/>
      <c r="E617">
        <f t="shared" si="64"/>
        <v>100.99999999999969</v>
      </c>
      <c r="F617">
        <f t="shared" si="63"/>
        <v>1.683333333333328</v>
      </c>
      <c r="G617">
        <f t="shared" si="65"/>
        <v>1.3355188735864465E-2</v>
      </c>
      <c r="H617">
        <f t="shared" si="66"/>
        <v>0</v>
      </c>
      <c r="I617">
        <f t="shared" si="67"/>
        <v>67.352104787541023</v>
      </c>
      <c r="J617">
        <f t="shared" si="69"/>
        <v>1.9828910734108109E-2</v>
      </c>
      <c r="L617">
        <f t="shared" si="68"/>
        <v>1.982891073410811E-4</v>
      </c>
    </row>
    <row r="618" spans="1:12" x14ac:dyDescent="0.2">
      <c r="A618" s="2"/>
      <c r="B618" s="2"/>
      <c r="C618" s="2">
        <v>2</v>
      </c>
      <c r="D618" s="7"/>
      <c r="E618">
        <f t="shared" si="64"/>
        <v>101.16666666666634</v>
      </c>
      <c r="F618">
        <f t="shared" si="63"/>
        <v>1.6861111111111058</v>
      </c>
      <c r="G618">
        <f t="shared" si="65"/>
        <v>1.2974908256032255E-2</v>
      </c>
      <c r="H618">
        <f t="shared" si="66"/>
        <v>0</v>
      </c>
      <c r="I618">
        <f t="shared" si="67"/>
        <v>67.352104787541023</v>
      </c>
      <c r="J618">
        <f t="shared" si="69"/>
        <v>1.9264295150034257E-2</v>
      </c>
      <c r="L618">
        <f t="shared" si="68"/>
        <v>1.9264295150034258E-4</v>
      </c>
    </row>
    <row r="619" spans="1:12" x14ac:dyDescent="0.2">
      <c r="A619" s="2"/>
      <c r="B619" s="2"/>
      <c r="C619" s="2">
        <v>2</v>
      </c>
      <c r="D619" s="7"/>
      <c r="E619">
        <f t="shared" si="64"/>
        <v>101.33333333333302</v>
      </c>
      <c r="F619">
        <f t="shared" si="63"/>
        <v>1.6888888888888836</v>
      </c>
      <c r="G619">
        <f t="shared" si="65"/>
        <v>1.2605456020278172E-2</v>
      </c>
      <c r="H619">
        <f t="shared" si="66"/>
        <v>0</v>
      </c>
      <c r="I619">
        <f t="shared" si="67"/>
        <v>67.352104787541023</v>
      </c>
      <c r="J619">
        <f t="shared" si="69"/>
        <v>1.8715756634542419E-2</v>
      </c>
      <c r="L619">
        <f t="shared" si="68"/>
        <v>1.871575663454242E-4</v>
      </c>
    </row>
    <row r="620" spans="1:12" x14ac:dyDescent="0.2">
      <c r="A620" s="2"/>
      <c r="B620" s="2"/>
      <c r="C620" s="2">
        <v>2</v>
      </c>
      <c r="D620" s="7"/>
      <c r="E620">
        <f t="shared" si="64"/>
        <v>101.49999999999967</v>
      </c>
      <c r="F620">
        <f t="shared" si="63"/>
        <v>1.6916666666666613</v>
      </c>
      <c r="G620">
        <f t="shared" si="65"/>
        <v>1.2246523701259551E-2</v>
      </c>
      <c r="H620">
        <f t="shared" si="66"/>
        <v>0</v>
      </c>
      <c r="I620">
        <f t="shared" si="67"/>
        <v>67.352104787541023</v>
      </c>
      <c r="J620">
        <f t="shared" si="69"/>
        <v>1.8182837403360477E-2</v>
      </c>
      <c r="L620">
        <f t="shared" si="68"/>
        <v>1.8182837403360477E-4</v>
      </c>
    </row>
    <row r="621" spans="1:12" x14ac:dyDescent="0.2">
      <c r="A621" s="2"/>
      <c r="B621" s="2"/>
      <c r="C621" s="2">
        <v>2</v>
      </c>
      <c r="D621" s="7"/>
      <c r="E621">
        <f t="shared" si="64"/>
        <v>101.66666666666634</v>
      </c>
      <c r="F621">
        <f t="shared" si="63"/>
        <v>1.6944444444444391</v>
      </c>
      <c r="G621">
        <f t="shared" si="65"/>
        <v>1.1897811751058118E-2</v>
      </c>
      <c r="H621">
        <f t="shared" si="66"/>
        <v>0</v>
      </c>
      <c r="I621">
        <f t="shared" si="67"/>
        <v>67.352104787541023</v>
      </c>
      <c r="J621">
        <f t="shared" si="69"/>
        <v>1.7665092707331409E-2</v>
      </c>
      <c r="L621">
        <f t="shared" si="68"/>
        <v>1.766509270733141E-4</v>
      </c>
    </row>
    <row r="622" spans="1:12" x14ac:dyDescent="0.2">
      <c r="A622" s="2"/>
      <c r="B622" s="2"/>
      <c r="C622" s="2">
        <v>2</v>
      </c>
      <c r="D622" s="7"/>
      <c r="E622">
        <f t="shared" si="64"/>
        <v>101.83333333333302</v>
      </c>
      <c r="F622">
        <f t="shared" si="63"/>
        <v>1.6972222222222169</v>
      </c>
      <c r="G622">
        <f t="shared" si="65"/>
        <v>1.1559029151191488E-2</v>
      </c>
      <c r="H622">
        <f t="shared" si="66"/>
        <v>0</v>
      </c>
      <c r="I622">
        <f t="shared" si="67"/>
        <v>67.352104787541023</v>
      </c>
      <c r="J622">
        <f t="shared" si="69"/>
        <v>1.716209046124674E-2</v>
      </c>
      <c r="L622">
        <f t="shared" si="68"/>
        <v>1.7162090461246741E-4</v>
      </c>
    </row>
    <row r="623" spans="1:12" x14ac:dyDescent="0.2">
      <c r="A623" s="2"/>
      <c r="B623" s="2"/>
      <c r="C623" s="2">
        <v>2</v>
      </c>
      <c r="D623" s="7"/>
      <c r="E623">
        <f t="shared" si="64"/>
        <v>101.99999999999967</v>
      </c>
      <c r="F623">
        <f t="shared" si="63"/>
        <v>1.6999999999999946</v>
      </c>
      <c r="G623">
        <f t="shared" si="65"/>
        <v>1.1229893169742921E-2</v>
      </c>
      <c r="H623">
        <f t="shared" si="66"/>
        <v>0</v>
      </c>
      <c r="I623">
        <f t="shared" si="67"/>
        <v>67.352104787541023</v>
      </c>
      <c r="J623">
        <f t="shared" si="69"/>
        <v>1.6673410883248682E-2</v>
      </c>
      <c r="L623">
        <f t="shared" si="68"/>
        <v>1.6673410883248681E-4</v>
      </c>
    </row>
    <row r="624" spans="1:12" x14ac:dyDescent="0.2">
      <c r="A624" s="2"/>
      <c r="B624" s="2"/>
      <c r="C624" s="2">
        <v>2</v>
      </c>
      <c r="D624" s="7"/>
      <c r="E624">
        <f t="shared" si="64"/>
        <v>102.16666666666634</v>
      </c>
      <c r="F624">
        <f t="shared" si="63"/>
        <v>1.7027777777777724</v>
      </c>
      <c r="G624">
        <f t="shared" si="65"/>
        <v>1.0910129125406644E-2</v>
      </c>
      <c r="H624">
        <f t="shared" si="66"/>
        <v>0</v>
      </c>
      <c r="I624">
        <f t="shared" si="67"/>
        <v>67.352104787541023</v>
      </c>
      <c r="J624">
        <f t="shared" si="69"/>
        <v>1.6198646144500044E-2</v>
      </c>
      <c r="L624">
        <f t="shared" si="68"/>
        <v>1.6198646144500043E-4</v>
      </c>
    </row>
    <row r="625" spans="1:12" x14ac:dyDescent="0.2">
      <c r="A625" s="2"/>
      <c r="B625" s="2"/>
      <c r="C625" s="2">
        <v>2</v>
      </c>
      <c r="D625" s="7"/>
      <c r="E625">
        <f t="shared" si="64"/>
        <v>102.33333333333302</v>
      </c>
      <c r="F625">
        <f t="shared" ref="F625:F688" si="70">Tsamp+F624</f>
        <v>1.7055555555555502</v>
      </c>
      <c r="G625">
        <f t="shared" si="65"/>
        <v>1.0599470158251849E-2</v>
      </c>
      <c r="H625">
        <f t="shared" si="66"/>
        <v>0</v>
      </c>
      <c r="I625">
        <f t="shared" si="67"/>
        <v>67.352104787541023</v>
      </c>
      <c r="J625">
        <f t="shared" si="69"/>
        <v>1.5737400028829639E-2</v>
      </c>
      <c r="L625">
        <f t="shared" si="68"/>
        <v>1.5737400028829638E-4</v>
      </c>
    </row>
    <row r="626" spans="1:12" x14ac:dyDescent="0.2">
      <c r="A626" s="2"/>
      <c r="B626" s="2"/>
      <c r="C626" s="2">
        <v>2</v>
      </c>
      <c r="D626" s="7"/>
      <c r="E626">
        <f t="shared" si="64"/>
        <v>102.49999999999967</v>
      </c>
      <c r="F626">
        <f t="shared" si="70"/>
        <v>1.7083333333333279</v>
      </c>
      <c r="G626">
        <f t="shared" si="65"/>
        <v>1.029765700701402E-2</v>
      </c>
      <c r="H626">
        <f t="shared" si="66"/>
        <v>0</v>
      </c>
      <c r="I626">
        <f t="shared" si="67"/>
        <v>67.352104787541023</v>
      </c>
      <c r="J626">
        <f t="shared" si="69"/>
        <v>1.5289287602068984E-2</v>
      </c>
      <c r="L626">
        <f t="shared" si="68"/>
        <v>1.5289287602068984E-4</v>
      </c>
    </row>
    <row r="627" spans="1:12" x14ac:dyDescent="0.2">
      <c r="A627" s="2"/>
      <c r="B627" s="2"/>
      <c r="C627" s="2">
        <v>2</v>
      </c>
      <c r="D627" s="7"/>
      <c r="E627">
        <f t="shared" si="64"/>
        <v>102.66666666666634</v>
      </c>
      <c r="F627">
        <f t="shared" si="70"/>
        <v>1.7111111111111057</v>
      </c>
      <c r="G627">
        <f t="shared" si="65"/>
        <v>1.0004437792727765E-2</v>
      </c>
      <c r="H627">
        <f t="shared" si="66"/>
        <v>0</v>
      </c>
      <c r="I627">
        <f t="shared" si="67"/>
        <v>67.352104787541023</v>
      </c>
      <c r="J627">
        <f t="shared" si="69"/>
        <v>1.4853934890804501E-2</v>
      </c>
      <c r="L627">
        <f t="shared" si="68"/>
        <v>1.48539348908045E-4</v>
      </c>
    </row>
    <row r="628" spans="1:12" x14ac:dyDescent="0.2">
      <c r="A628" s="2"/>
      <c r="B628" s="2"/>
      <c r="C628" s="2">
        <v>2</v>
      </c>
      <c r="D628" s="7"/>
      <c r="E628">
        <f t="shared" si="64"/>
        <v>102.833333333333</v>
      </c>
      <c r="F628">
        <f t="shared" si="70"/>
        <v>1.7138888888888835</v>
      </c>
      <c r="G628">
        <f t="shared" si="65"/>
        <v>9.7195678085205562E-3</v>
      </c>
      <c r="H628">
        <f t="shared" si="66"/>
        <v>0</v>
      </c>
      <c r="I628">
        <f t="shared" si="67"/>
        <v>67.352104787541023</v>
      </c>
      <c r="J628">
        <f t="shared" si="69"/>
        <v>1.4430978570277003E-2</v>
      </c>
      <c r="L628">
        <f t="shared" si="68"/>
        <v>1.4430978570277003E-4</v>
      </c>
    </row>
    <row r="629" spans="1:12" x14ac:dyDescent="0.2">
      <c r="A629" s="2"/>
      <c r="B629" s="2"/>
      <c r="C629" s="2">
        <v>2</v>
      </c>
      <c r="D629" s="7"/>
      <c r="E629">
        <f t="shared" si="64"/>
        <v>102.99999999999967</v>
      </c>
      <c r="F629">
        <f t="shared" si="70"/>
        <v>1.7166666666666612</v>
      </c>
      <c r="G629">
        <f t="shared" si="65"/>
        <v>9.4428093153919555E-3</v>
      </c>
      <c r="H629">
        <f t="shared" si="66"/>
        <v>0</v>
      </c>
      <c r="I629">
        <f t="shared" si="67"/>
        <v>67.352104787541023</v>
      </c>
      <c r="J629">
        <f t="shared" si="69"/>
        <v>1.402006566116804E-2</v>
      </c>
      <c r="L629">
        <f t="shared" si="68"/>
        <v>1.4020065661168041E-4</v>
      </c>
    </row>
    <row r="630" spans="1:12" x14ac:dyDescent="0.2">
      <c r="A630" s="2"/>
      <c r="B630" s="2"/>
      <c r="C630" s="2">
        <v>2</v>
      </c>
      <c r="D630" s="7"/>
      <c r="E630">
        <f t="shared" si="64"/>
        <v>103.16666666666634</v>
      </c>
      <c r="F630">
        <f t="shared" si="70"/>
        <v>1.719444444444439</v>
      </c>
      <c r="G630">
        <f t="shared" si="65"/>
        <v>9.1739313438079107E-3</v>
      </c>
      <c r="H630">
        <f t="shared" si="66"/>
        <v>0</v>
      </c>
      <c r="I630">
        <f t="shared" si="67"/>
        <v>67.352104787541023</v>
      </c>
      <c r="J630">
        <f t="shared" si="69"/>
        <v>1.3620853235020103E-2</v>
      </c>
      <c r="L630">
        <f t="shared" si="68"/>
        <v>1.3620853235020102E-4</v>
      </c>
    </row>
    <row r="631" spans="1:12" x14ac:dyDescent="0.2">
      <c r="A631" s="2"/>
      <c r="B631" s="2"/>
      <c r="C631" s="2">
        <v>2</v>
      </c>
      <c r="D631" s="7"/>
      <c r="E631">
        <f t="shared" si="64"/>
        <v>103.333333333333</v>
      </c>
      <c r="F631">
        <f t="shared" si="70"/>
        <v>1.7222222222222168</v>
      </c>
      <c r="G631">
        <f t="shared" si="65"/>
        <v>8.9127095009445111E-3</v>
      </c>
      <c r="H631">
        <f t="shared" si="66"/>
        <v>0</v>
      </c>
      <c r="I631">
        <f t="shared" si="67"/>
        <v>67.352104787541023</v>
      </c>
      <c r="J631">
        <f t="shared" si="69"/>
        <v>1.3233008128044736E-2</v>
      </c>
      <c r="L631">
        <f t="shared" si="68"/>
        <v>1.3233008128044735E-4</v>
      </c>
    </row>
    <row r="632" spans="1:12" x14ac:dyDescent="0.2">
      <c r="A632" s="2"/>
      <c r="B632" s="2"/>
      <c r="C632" s="2">
        <v>2</v>
      </c>
      <c r="D632" s="7"/>
      <c r="E632">
        <f t="shared" si="64"/>
        <v>103.49999999999967</v>
      </c>
      <c r="F632">
        <f t="shared" si="70"/>
        <v>1.7249999999999945</v>
      </c>
      <c r="G632">
        <f t="shared" si="65"/>
        <v>8.6589257834203646E-3</v>
      </c>
      <c r="H632">
        <f t="shared" si="66"/>
        <v>0</v>
      </c>
      <c r="I632">
        <f t="shared" si="67"/>
        <v>67.352104787541023</v>
      </c>
      <c r="J632">
        <f t="shared" si="69"/>
        <v>1.2856206663079841E-2</v>
      </c>
      <c r="L632">
        <f t="shared" si="68"/>
        <v>1.2856206663079841E-4</v>
      </c>
    </row>
    <row r="633" spans="1:12" x14ac:dyDescent="0.2">
      <c r="A633" s="2"/>
      <c r="B633" s="2"/>
      <c r="C633" s="2">
        <v>2</v>
      </c>
      <c r="D633" s="7"/>
      <c r="E633">
        <f t="shared" si="64"/>
        <v>103.66666666666634</v>
      </c>
      <c r="F633">
        <f t="shared" si="70"/>
        <v>1.7277777777777723</v>
      </c>
      <c r="G633">
        <f t="shared" si="65"/>
        <v>8.4123683953612992E-3</v>
      </c>
      <c r="H633">
        <f t="shared" si="66"/>
        <v>0</v>
      </c>
      <c r="I633">
        <f t="shared" si="67"/>
        <v>67.352104787541023</v>
      </c>
      <c r="J633">
        <f t="shared" si="69"/>
        <v>1.249013437946403E-2</v>
      </c>
      <c r="L633">
        <f t="shared" si="68"/>
        <v>1.2490134379464029E-4</v>
      </c>
    </row>
    <row r="634" spans="1:12" x14ac:dyDescent="0.2">
      <c r="A634" s="2"/>
      <c r="B634" s="2"/>
      <c r="C634" s="2">
        <v>2</v>
      </c>
      <c r="D634" s="7"/>
      <c r="E634">
        <f t="shared" si="64"/>
        <v>103.833333333333</v>
      </c>
      <c r="F634">
        <f t="shared" si="70"/>
        <v>1.7305555555555501</v>
      </c>
      <c r="G634">
        <f t="shared" si="65"/>
        <v>8.1728315716455505E-3</v>
      </c>
      <c r="H634">
        <f t="shared" si="66"/>
        <v>0</v>
      </c>
      <c r="I634">
        <f t="shared" si="67"/>
        <v>67.352104787541023</v>
      </c>
      <c r="J634">
        <f t="shared" si="69"/>
        <v>1.2134485770602648E-2</v>
      </c>
      <c r="L634">
        <f t="shared" si="68"/>
        <v>1.2134485770602648E-4</v>
      </c>
    </row>
    <row r="635" spans="1:12" x14ac:dyDescent="0.2">
      <c r="A635" s="2"/>
      <c r="B635" s="2"/>
      <c r="C635" s="2">
        <v>2</v>
      </c>
      <c r="D635" s="7"/>
      <c r="E635">
        <f t="shared" si="64"/>
        <v>103.99999999999967</v>
      </c>
      <c r="F635">
        <f t="shared" si="70"/>
        <v>1.7333333333333278</v>
      </c>
      <c r="G635">
        <f t="shared" si="65"/>
        <v>7.9401154061819381E-3</v>
      </c>
      <c r="H635">
        <f t="shared" si="66"/>
        <v>0</v>
      </c>
      <c r="I635">
        <f t="shared" si="67"/>
        <v>67.352104787541023</v>
      </c>
      <c r="J635">
        <f t="shared" si="69"/>
        <v>1.1788964029006444E-2</v>
      </c>
      <c r="L635">
        <f t="shared" si="68"/>
        <v>1.1788964029006444E-4</v>
      </c>
    </row>
    <row r="636" spans="1:12" x14ac:dyDescent="0.2">
      <c r="A636" s="2"/>
      <c r="B636" s="2"/>
      <c r="C636" s="2">
        <v>2</v>
      </c>
      <c r="D636" s="7"/>
      <c r="E636">
        <f t="shared" si="64"/>
        <v>104.16666666666633</v>
      </c>
      <c r="F636">
        <f t="shared" si="70"/>
        <v>1.7361111111111056</v>
      </c>
      <c r="G636">
        <f t="shared" si="65"/>
        <v>7.7140256850777049E-3</v>
      </c>
      <c r="H636">
        <f t="shared" si="66"/>
        <v>0</v>
      </c>
      <c r="I636">
        <f t="shared" si="67"/>
        <v>67.352104787541023</v>
      </c>
      <c r="J636">
        <f t="shared" si="69"/>
        <v>1.1453280798590077E-2</v>
      </c>
      <c r="L636">
        <f t="shared" si="68"/>
        <v>1.1453280798590077E-4</v>
      </c>
    </row>
    <row r="637" spans="1:12" x14ac:dyDescent="0.2">
      <c r="A637" s="2"/>
      <c r="B637" s="2"/>
      <c r="C637" s="2">
        <v>2</v>
      </c>
      <c r="D637" s="7"/>
      <c r="E637">
        <f t="shared" si="64"/>
        <v>104.333333333333</v>
      </c>
      <c r="F637">
        <f t="shared" si="70"/>
        <v>1.7388888888888834</v>
      </c>
      <c r="G637">
        <f t="shared" si="65"/>
        <v>7.4943737245567995E-3</v>
      </c>
      <c r="H637">
        <f t="shared" si="66"/>
        <v>0</v>
      </c>
      <c r="I637">
        <f t="shared" si="67"/>
        <v>67.352104787541023</v>
      </c>
      <c r="J637">
        <f t="shared" si="69"/>
        <v>1.1127155934023801E-2</v>
      </c>
      <c r="L637">
        <f t="shared" si="68"/>
        <v>1.1127155934023801E-4</v>
      </c>
    </row>
    <row r="638" spans="1:12" x14ac:dyDescent="0.2">
      <c r="A638" s="2"/>
      <c r="B638" s="2"/>
      <c r="C638" s="2">
        <v>2</v>
      </c>
      <c r="D638" s="7"/>
      <c r="E638">
        <f t="shared" si="64"/>
        <v>104.49999999999967</v>
      </c>
      <c r="F638">
        <f t="shared" si="70"/>
        <v>1.7416666666666611</v>
      </c>
      <c r="G638">
        <f t="shared" si="65"/>
        <v>7.2809762134933296E-3</v>
      </c>
      <c r="H638">
        <f t="shared" si="66"/>
        <v>0</v>
      </c>
      <c r="I638">
        <f t="shared" si="67"/>
        <v>67.352104787541023</v>
      </c>
      <c r="J638">
        <f t="shared" si="69"/>
        <v>1.0810317266937416E-2</v>
      </c>
      <c r="L638">
        <f t="shared" si="68"/>
        <v>1.0810317266937417E-4</v>
      </c>
    </row>
    <row r="639" spans="1:12" x14ac:dyDescent="0.2">
      <c r="A639" s="2"/>
      <c r="B639" s="2"/>
      <c r="C639" s="2">
        <v>2</v>
      </c>
      <c r="D639" s="7"/>
      <c r="E639">
        <f t="shared" si="64"/>
        <v>104.66666666666633</v>
      </c>
      <c r="F639">
        <f t="shared" si="70"/>
        <v>1.7444444444444389</v>
      </c>
      <c r="G639">
        <f t="shared" si="65"/>
        <v>7.0736550604287764E-3</v>
      </c>
      <c r="H639">
        <f t="shared" si="66"/>
        <v>0</v>
      </c>
      <c r="I639">
        <f t="shared" si="67"/>
        <v>67.352104787541023</v>
      </c>
      <c r="J639">
        <f t="shared" si="69"/>
        <v>1.0502500378781452E-2</v>
      </c>
      <c r="L639">
        <f t="shared" si="68"/>
        <v>1.0502500378781452E-4</v>
      </c>
    </row>
    <row r="640" spans="1:12" x14ac:dyDescent="0.2">
      <c r="A640" s="2"/>
      <c r="B640" s="2"/>
      <c r="C640" s="2">
        <v>2</v>
      </c>
      <c r="D640" s="7"/>
      <c r="E640">
        <f t="shared" si="64"/>
        <v>104.833333333333</v>
      </c>
      <c r="F640">
        <f t="shared" si="70"/>
        <v>1.7472222222222167</v>
      </c>
      <c r="G640">
        <f t="shared" si="65"/>
        <v>6.8722372449452965E-3</v>
      </c>
      <c r="H640">
        <f t="shared" si="66"/>
        <v>0</v>
      </c>
      <c r="I640">
        <f t="shared" si="67"/>
        <v>67.352104787541023</v>
      </c>
      <c r="J640">
        <f t="shared" si="69"/>
        <v>1.0203448380155956E-2</v>
      </c>
      <c r="L640">
        <f t="shared" si="68"/>
        <v>1.0203448380155956E-4</v>
      </c>
    </row>
    <row r="641" spans="1:12" x14ac:dyDescent="0.2">
      <c r="A641" s="2"/>
      <c r="B641" s="2"/>
      <c r="C641" s="2">
        <v>2</v>
      </c>
      <c r="D641" s="7"/>
      <c r="E641">
        <f t="shared" si="64"/>
        <v>104.99999999999967</v>
      </c>
      <c r="F641">
        <f t="shared" si="70"/>
        <v>1.7499999999999944</v>
      </c>
      <c r="G641">
        <f t="shared" si="65"/>
        <v>6.6765546732710729E-3</v>
      </c>
      <c r="H641">
        <f t="shared" si="66"/>
        <v>0</v>
      </c>
      <c r="I641">
        <f t="shared" si="67"/>
        <v>67.352104787541023</v>
      </c>
      <c r="J641">
        <f t="shared" si="69"/>
        <v>9.9129116964227666E-3</v>
      </c>
      <c r="L641">
        <f t="shared" si="68"/>
        <v>9.912911696422767E-5</v>
      </c>
    </row>
    <row r="642" spans="1:12" x14ac:dyDescent="0.2">
      <c r="A642" s="2"/>
      <c r="B642" s="2"/>
      <c r="C642" s="2">
        <v>2</v>
      </c>
      <c r="D642" s="7"/>
      <c r="E642">
        <f t="shared" si="64"/>
        <v>105.16666666666633</v>
      </c>
      <c r="F642">
        <f t="shared" si="70"/>
        <v>1.7527777777777722</v>
      </c>
      <c r="G642">
        <f t="shared" si="65"/>
        <v>6.4864440379972113E-3</v>
      </c>
      <c r="H642">
        <f t="shared" si="66"/>
        <v>0</v>
      </c>
      <c r="I642">
        <f t="shared" si="67"/>
        <v>67.352104787541023</v>
      </c>
      <c r="J642">
        <f t="shared" si="69"/>
        <v>9.6306478594223414E-3</v>
      </c>
      <c r="L642">
        <f t="shared" si="68"/>
        <v>9.6306478594223411E-5</v>
      </c>
    </row>
    <row r="643" spans="1:12" x14ac:dyDescent="0.2">
      <c r="A643" s="2"/>
      <c r="B643" s="2"/>
      <c r="C643" s="2">
        <v>2</v>
      </c>
      <c r="D643" s="7"/>
      <c r="E643">
        <f t="shared" si="64"/>
        <v>105.333333333333</v>
      </c>
      <c r="F643">
        <f t="shared" si="70"/>
        <v>1.75555555555555</v>
      </c>
      <c r="G643">
        <f t="shared" si="65"/>
        <v>6.3017466817891117E-3</v>
      </c>
      <c r="H643">
        <f t="shared" si="66"/>
        <v>0</v>
      </c>
      <c r="I643">
        <f t="shared" si="67"/>
        <v>67.352104787541023</v>
      </c>
      <c r="J643">
        <f t="shared" si="69"/>
        <v>9.3564213051213017E-3</v>
      </c>
      <c r="L643">
        <f t="shared" si="68"/>
        <v>9.3564213051213011E-5</v>
      </c>
    </row>
    <row r="644" spans="1:12" x14ac:dyDescent="0.2">
      <c r="A644" s="2"/>
      <c r="B644" s="2"/>
      <c r="C644" s="2">
        <v>2</v>
      </c>
      <c r="D644" s="7"/>
      <c r="E644">
        <f t="shared" si="64"/>
        <v>105.49999999999966</v>
      </c>
      <c r="F644">
        <f t="shared" si="70"/>
        <v>1.7583333333333278</v>
      </c>
      <c r="G644">
        <f t="shared" si="65"/>
        <v>6.122308464978566E-3</v>
      </c>
      <c r="H644">
        <f t="shared" si="66"/>
        <v>0</v>
      </c>
      <c r="I644">
        <f t="shared" si="67"/>
        <v>67.352104787541023</v>
      </c>
      <c r="J644">
        <f t="shared" si="69"/>
        <v>9.0900031770218531E-3</v>
      </c>
      <c r="L644">
        <f t="shared" si="68"/>
        <v>9.0900031770218536E-5</v>
      </c>
    </row>
    <row r="645" spans="1:12" x14ac:dyDescent="0.2">
      <c r="A645" s="2"/>
      <c r="B645" s="2"/>
      <c r="C645" s="2">
        <v>2</v>
      </c>
      <c r="D645" s="7"/>
      <c r="E645">
        <f t="shared" si="64"/>
        <v>105.66666666666633</v>
      </c>
      <c r="F645">
        <f t="shared" si="70"/>
        <v>1.7611111111111055</v>
      </c>
      <c r="G645">
        <f t="shared" si="65"/>
        <v>5.9479796369260925E-3</v>
      </c>
      <c r="H645">
        <f t="shared" si="66"/>
        <v>0</v>
      </c>
      <c r="I645">
        <f t="shared" si="67"/>
        <v>67.352104787541023</v>
      </c>
      <c r="J645">
        <f t="shared" si="69"/>
        <v>8.8311711351689876E-3</v>
      </c>
      <c r="L645">
        <f t="shared" si="68"/>
        <v>8.8311711351689876E-5</v>
      </c>
    </row>
    <row r="646" spans="1:12" x14ac:dyDescent="0.2">
      <c r="A646" s="2"/>
      <c r="B646" s="2"/>
      <c r="C646" s="2">
        <v>2</v>
      </c>
      <c r="D646" s="7"/>
      <c r="E646">
        <f t="shared" si="64"/>
        <v>105.833333333333</v>
      </c>
      <c r="F646">
        <f t="shared" si="70"/>
        <v>1.7638888888888833</v>
      </c>
      <c r="G646">
        <f t="shared" si="65"/>
        <v>5.7786147110461391E-3</v>
      </c>
      <c r="H646">
        <f t="shared" si="66"/>
        <v>0</v>
      </c>
      <c r="I646">
        <f t="shared" si="67"/>
        <v>67.352104787541023</v>
      </c>
      <c r="J646">
        <f t="shared" si="69"/>
        <v>8.5797091705960803E-3</v>
      </c>
      <c r="L646">
        <f t="shared" si="68"/>
        <v>8.5797091705960797E-5</v>
      </c>
    </row>
    <row r="647" spans="1:12" x14ac:dyDescent="0.2">
      <c r="A647" s="2"/>
      <c r="B647" s="2"/>
      <c r="C647" s="2">
        <v>2</v>
      </c>
      <c r="D647" s="7"/>
      <c r="E647">
        <f t="shared" si="64"/>
        <v>105.99999999999966</v>
      </c>
      <c r="F647">
        <f t="shared" si="70"/>
        <v>1.7666666666666611</v>
      </c>
      <c r="G647">
        <f t="shared" si="65"/>
        <v>5.6140723433908716E-3</v>
      </c>
      <c r="H647">
        <f t="shared" si="66"/>
        <v>0</v>
      </c>
      <c r="I647">
        <f t="shared" si="67"/>
        <v>67.352104787541023</v>
      </c>
      <c r="J647">
        <f t="shared" si="69"/>
        <v>8.3354074250540401E-3</v>
      </c>
      <c r="L647">
        <f t="shared" si="68"/>
        <v>8.3354074250540397E-5</v>
      </c>
    </row>
    <row r="648" spans="1:12" x14ac:dyDescent="0.2">
      <c r="A648" s="2"/>
      <c r="B648" s="2"/>
      <c r="C648" s="2">
        <v>2</v>
      </c>
      <c r="D648" s="7"/>
      <c r="E648">
        <f t="shared" si="64"/>
        <v>106.16666666666633</v>
      </c>
      <c r="F648">
        <f t="shared" si="70"/>
        <v>1.7694444444444388</v>
      </c>
      <c r="G648">
        <f t="shared" si="65"/>
        <v>5.454215214691205E-3</v>
      </c>
      <c r="H648">
        <f t="shared" si="66"/>
        <v>0</v>
      </c>
      <c r="I648">
        <f t="shared" si="67"/>
        <v>67.352104787541023</v>
      </c>
      <c r="J648">
        <f t="shared" si="69"/>
        <v>8.0980620158735417E-3</v>
      </c>
      <c r="L648">
        <f t="shared" si="68"/>
        <v>8.0980620158735414E-5</v>
      </c>
    </row>
    <row r="649" spans="1:12" x14ac:dyDescent="0.2">
      <c r="A649" s="2"/>
      <c r="B649" s="2"/>
      <c r="C649" s="2">
        <v>2</v>
      </c>
      <c r="D649" s="7"/>
      <c r="E649">
        <f t="shared" si="64"/>
        <v>106.333333333333</v>
      </c>
      <c r="F649">
        <f t="shared" si="70"/>
        <v>1.7722222222222166</v>
      </c>
      <c r="G649">
        <f t="shared" si="65"/>
        <v>5.2989099157566442E-3</v>
      </c>
      <c r="H649">
        <f t="shared" si="66"/>
        <v>0</v>
      </c>
      <c r="I649">
        <f t="shared" si="67"/>
        <v>67.352104787541023</v>
      </c>
      <c r="J649">
        <f t="shared" si="69"/>
        <v>7.8674748658142182E-3</v>
      </c>
      <c r="L649">
        <f t="shared" si="68"/>
        <v>7.867474865814218E-5</v>
      </c>
    </row>
    <row r="650" spans="1:12" x14ac:dyDescent="0.2">
      <c r="A650" s="2"/>
      <c r="B650" s="2"/>
      <c r="C650" s="2">
        <v>2</v>
      </c>
      <c r="D650" s="7"/>
      <c r="E650">
        <f t="shared" si="64"/>
        <v>106.49999999999966</v>
      </c>
      <c r="F650">
        <f t="shared" si="70"/>
        <v>1.7749999999999944</v>
      </c>
      <c r="G650">
        <f t="shared" si="65"/>
        <v>5.1480268361382897E-3</v>
      </c>
      <c r="H650">
        <f t="shared" si="66"/>
        <v>0</v>
      </c>
      <c r="I650">
        <f t="shared" si="67"/>
        <v>67.352104787541023</v>
      </c>
      <c r="J650">
        <f t="shared" si="69"/>
        <v>7.6434535377587565E-3</v>
      </c>
      <c r="L650">
        <f t="shared" si="68"/>
        <v>7.6434535377587566E-5</v>
      </c>
    </row>
    <row r="651" spans="1:12" x14ac:dyDescent="0.2">
      <c r="A651" s="2"/>
      <c r="B651" s="2"/>
      <c r="C651" s="2">
        <v>2</v>
      </c>
      <c r="D651" s="7"/>
      <c r="E651">
        <f t="shared" si="64"/>
        <v>106.66666666666633</v>
      </c>
      <c r="F651">
        <f t="shared" si="70"/>
        <v>1.7777777777777721</v>
      </c>
      <c r="G651">
        <f t="shared" si="65"/>
        <v>5.0014400559620946E-3</v>
      </c>
      <c r="H651">
        <f t="shared" si="66"/>
        <v>0</v>
      </c>
      <c r="I651">
        <f t="shared" si="67"/>
        <v>67.352104787541023</v>
      </c>
      <c r="J651">
        <f t="shared" si="69"/>
        <v>7.425811074114011E-3</v>
      </c>
      <c r="L651">
        <f t="shared" si="68"/>
        <v>7.4258110741140114E-5</v>
      </c>
    </row>
    <row r="652" spans="1:12" x14ac:dyDescent="0.2">
      <c r="A652" s="2"/>
      <c r="B652" s="2"/>
      <c r="C652" s="2">
        <v>2</v>
      </c>
      <c r="D652" s="7"/>
      <c r="E652">
        <f t="shared" ref="E652:E715" si="71">F652*60</f>
        <v>106.83333333333299</v>
      </c>
      <c r="F652">
        <f t="shared" si="70"/>
        <v>1.7805555555555499</v>
      </c>
      <c r="G652">
        <f t="shared" ref="G652:G715" si="72">Tsamp*$D652*G$3/G$5+G$8*G651</f>
        <v>4.8590272408420999E-3</v>
      </c>
      <c r="H652">
        <f t="shared" ref="H652:H715" si="73">$D652*$G$3/$G$6</f>
        <v>0</v>
      </c>
      <c r="I652">
        <f t="shared" ref="I652:I715" si="74">Tsamp*32*$G$3/($G$5*(1-$G$8))</f>
        <v>67.352104787541023</v>
      </c>
      <c r="J652">
        <f t="shared" si="69"/>
        <v>7.2143658407850322E-3</v>
      </c>
      <c r="L652">
        <f t="shared" ref="L652:L715" si="75">$J652/100</f>
        <v>7.2143658407850325E-5</v>
      </c>
    </row>
    <row r="653" spans="1:12" x14ac:dyDescent="0.2">
      <c r="A653" s="2"/>
      <c r="B653" s="2"/>
      <c r="C653" s="2">
        <v>2</v>
      </c>
      <c r="D653" s="7"/>
      <c r="E653">
        <f t="shared" si="71"/>
        <v>106.99999999999966</v>
      </c>
      <c r="F653">
        <f t="shared" si="70"/>
        <v>1.7833333333333277</v>
      </c>
      <c r="G653">
        <f t="shared" si="72"/>
        <v>4.7206695397859488E-3</v>
      </c>
      <c r="H653">
        <f t="shared" si="73"/>
        <v>0</v>
      </c>
      <c r="I653">
        <f t="shared" si="74"/>
        <v>67.352104787541023</v>
      </c>
      <c r="J653">
        <f t="shared" ref="J653:J716" si="76">$G653/$I653*100</f>
        <v>7.0089413755918609E-3</v>
      </c>
      <c r="L653">
        <f t="shared" si="75"/>
        <v>7.0089413755918605E-5</v>
      </c>
    </row>
    <row r="654" spans="1:12" x14ac:dyDescent="0.2">
      <c r="A654" s="2"/>
      <c r="B654" s="2"/>
      <c r="C654" s="2">
        <v>2</v>
      </c>
      <c r="D654" s="7"/>
      <c r="E654">
        <f t="shared" si="71"/>
        <v>107.16666666666633</v>
      </c>
      <c r="F654">
        <f t="shared" si="70"/>
        <v>1.7861111111111054</v>
      </c>
      <c r="G654">
        <f t="shared" si="72"/>
        <v>4.5862514860074751E-3</v>
      </c>
      <c r="H654">
        <f t="shared" si="73"/>
        <v>0</v>
      </c>
      <c r="I654">
        <f t="shared" si="74"/>
        <v>67.352104787541023</v>
      </c>
      <c r="J654">
        <f t="shared" si="76"/>
        <v>6.8093662410025416E-3</v>
      </c>
      <c r="L654">
        <f t="shared" si="75"/>
        <v>6.8093662410025418E-5</v>
      </c>
    </row>
    <row r="655" spans="1:12" x14ac:dyDescent="0.2">
      <c r="A655" s="2"/>
      <c r="B655" s="2"/>
      <c r="C655" s="2">
        <v>2</v>
      </c>
      <c r="D655" s="7"/>
      <c r="E655">
        <f t="shared" si="71"/>
        <v>107.33333333333299</v>
      </c>
      <c r="F655">
        <f t="shared" si="70"/>
        <v>1.7888888888888832</v>
      </c>
      <c r="G655">
        <f t="shared" si="72"/>
        <v>4.4556609005635909E-3</v>
      </c>
      <c r="H655">
        <f t="shared" si="73"/>
        <v>0</v>
      </c>
      <c r="I655">
        <f t="shared" si="74"/>
        <v>67.352104787541023</v>
      </c>
      <c r="J655">
        <f t="shared" si="76"/>
        <v>6.6154738810594842E-3</v>
      </c>
      <c r="L655">
        <f t="shared" si="75"/>
        <v>6.6154738810594846E-5</v>
      </c>
    </row>
    <row r="656" spans="1:12" x14ac:dyDescent="0.2">
      <c r="A656" s="2"/>
      <c r="B656" s="2"/>
      <c r="C656" s="2">
        <v>2</v>
      </c>
      <c r="D656" s="7"/>
      <c r="E656">
        <f t="shared" si="71"/>
        <v>107.49999999999966</v>
      </c>
      <c r="F656">
        <f t="shared" si="70"/>
        <v>1.791666666666661</v>
      </c>
      <c r="G656">
        <f t="shared" si="72"/>
        <v>4.328788798735053E-3</v>
      </c>
      <c r="H656">
        <f t="shared" si="73"/>
        <v>0</v>
      </c>
      <c r="I656">
        <f t="shared" si="74"/>
        <v>67.352104787541023</v>
      </c>
      <c r="J656">
        <f t="shared" si="76"/>
        <v>6.4271024823797408E-3</v>
      </c>
      <c r="L656">
        <f t="shared" si="75"/>
        <v>6.4271024823797404E-5</v>
      </c>
    </row>
    <row r="657" spans="1:12" x14ac:dyDescent="0.2">
      <c r="A657" s="2"/>
      <c r="B657" s="2"/>
      <c r="C657" s="2">
        <v>2</v>
      </c>
      <c r="D657" s="7"/>
      <c r="E657">
        <f t="shared" si="71"/>
        <v>107.66666666666633</v>
      </c>
      <c r="F657">
        <f t="shared" si="70"/>
        <v>1.7944444444444387</v>
      </c>
      <c r="G657">
        <f t="shared" si="72"/>
        <v>4.205529299072976E-3</v>
      </c>
      <c r="H657">
        <f t="shared" si="73"/>
        <v>0</v>
      </c>
      <c r="I657">
        <f t="shared" si="74"/>
        <v>67.352104787541023</v>
      </c>
      <c r="J657">
        <f t="shared" si="76"/>
        <v>6.2440948391132177E-3</v>
      </c>
      <c r="L657">
        <f t="shared" si="75"/>
        <v>6.244094839113218E-5</v>
      </c>
    </row>
    <row r="658" spans="1:12" x14ac:dyDescent="0.2">
      <c r="A658" s="2"/>
      <c r="B658" s="2"/>
      <c r="C658" s="2">
        <v>2</v>
      </c>
      <c r="D658" s="7"/>
      <c r="E658">
        <f t="shared" si="71"/>
        <v>107.83333333333299</v>
      </c>
      <c r="F658">
        <f t="shared" si="70"/>
        <v>1.7972222222222165</v>
      </c>
      <c r="G658">
        <f t="shared" si="72"/>
        <v>4.0857795350351883E-3</v>
      </c>
      <c r="H658">
        <f t="shared" si="73"/>
        <v>0</v>
      </c>
      <c r="I658">
        <f t="shared" si="74"/>
        <v>67.352104787541023</v>
      </c>
      <c r="J658">
        <f t="shared" si="76"/>
        <v>6.0662982217461262E-3</v>
      </c>
      <c r="L658">
        <f t="shared" si="75"/>
        <v>6.0662982217461265E-5</v>
      </c>
    </row>
    <row r="659" spans="1:12" x14ac:dyDescent="0.2">
      <c r="A659" s="2"/>
      <c r="B659" s="2"/>
      <c r="C659" s="2">
        <v>2</v>
      </c>
      <c r="D659" s="7"/>
      <c r="E659">
        <f t="shared" si="71"/>
        <v>107.99999999999966</v>
      </c>
      <c r="F659">
        <f t="shared" si="70"/>
        <v>1.7999999999999943</v>
      </c>
      <c r="G659">
        <f t="shared" si="72"/>
        <v>3.9694395691386875E-3</v>
      </c>
      <c r="H659">
        <f t="shared" si="73"/>
        <v>0</v>
      </c>
      <c r="I659">
        <f t="shared" si="74"/>
        <v>67.352104787541023</v>
      </c>
      <c r="J659">
        <f t="shared" si="76"/>
        <v>5.8935642496401467E-3</v>
      </c>
      <c r="L659">
        <f t="shared" si="75"/>
        <v>5.8935642496401463E-5</v>
      </c>
    </row>
    <row r="660" spans="1:12" x14ac:dyDescent="0.2">
      <c r="A660" s="2"/>
      <c r="B660" s="2"/>
      <c r="C660" s="2">
        <v>2</v>
      </c>
      <c r="D660" s="7"/>
      <c r="E660">
        <f t="shared" si="71"/>
        <v>108.16666666666632</v>
      </c>
      <c r="F660">
        <f t="shared" si="70"/>
        <v>1.802777777777772</v>
      </c>
      <c r="G660">
        <f t="shared" si="72"/>
        <v>3.8564123095565475E-3</v>
      </c>
      <c r="H660">
        <f t="shared" si="73"/>
        <v>0</v>
      </c>
      <c r="I660">
        <f t="shared" si="74"/>
        <v>67.352104787541023</v>
      </c>
      <c r="J660">
        <f t="shared" si="76"/>
        <v>5.7257487672009878E-3</v>
      </c>
      <c r="L660">
        <f t="shared" si="75"/>
        <v>5.7257487672009875E-5</v>
      </c>
    </row>
    <row r="661" spans="1:12" x14ac:dyDescent="0.2">
      <c r="A661" s="2"/>
      <c r="B661" s="2"/>
      <c r="C661" s="2">
        <v>2</v>
      </c>
      <c r="D661" s="7"/>
      <c r="E661">
        <f t="shared" si="71"/>
        <v>108.33333333333299</v>
      </c>
      <c r="F661">
        <f t="shared" si="70"/>
        <v>1.8055555555555498</v>
      </c>
      <c r="G661">
        <f t="shared" si="72"/>
        <v>3.7466034290896794E-3</v>
      </c>
      <c r="H661">
        <f t="shared" si="73"/>
        <v>0</v>
      </c>
      <c r="I661">
        <f t="shared" si="74"/>
        <v>67.352104787541023</v>
      </c>
      <c r="J661">
        <f t="shared" si="76"/>
        <v>5.5627117235729452E-3</v>
      </c>
      <c r="L661">
        <f t="shared" si="75"/>
        <v>5.5627117235729453E-5</v>
      </c>
    </row>
    <row r="662" spans="1:12" x14ac:dyDescent="0.2">
      <c r="A662" s="2"/>
      <c r="B662" s="2"/>
      <c r="C662" s="2">
        <v>2</v>
      </c>
      <c r="D662" s="7"/>
      <c r="E662">
        <f t="shared" si="71"/>
        <v>108.49999999999966</v>
      </c>
      <c r="F662">
        <f t="shared" si="70"/>
        <v>1.8083333333333276</v>
      </c>
      <c r="G662">
        <f t="shared" si="72"/>
        <v>3.6399212864458145E-3</v>
      </c>
      <c r="H662">
        <f t="shared" si="73"/>
        <v>0</v>
      </c>
      <c r="I662">
        <f t="shared" si="74"/>
        <v>67.352104787541023</v>
      </c>
      <c r="J662">
        <f t="shared" si="76"/>
        <v>5.4043170557590905E-3</v>
      </c>
      <c r="L662">
        <f t="shared" si="75"/>
        <v>5.4043170557590902E-5</v>
      </c>
    </row>
    <row r="663" spans="1:12" x14ac:dyDescent="0.2">
      <c r="A663" s="2"/>
      <c r="B663" s="2"/>
      <c r="C663" s="2">
        <v>2</v>
      </c>
      <c r="D663" s="7"/>
      <c r="E663">
        <f t="shared" si="71"/>
        <v>108.66666666666632</v>
      </c>
      <c r="F663">
        <f t="shared" si="70"/>
        <v>1.8111111111111053</v>
      </c>
      <c r="G663">
        <f t="shared" si="72"/>
        <v>3.5362768497600237E-3</v>
      </c>
      <c r="H663">
        <f t="shared" si="73"/>
        <v>0</v>
      </c>
      <c r="I663">
        <f t="shared" si="74"/>
        <v>67.352104787541023</v>
      </c>
      <c r="J663">
        <f t="shared" si="76"/>
        <v>5.2504325750695373E-3</v>
      </c>
      <c r="L663">
        <f t="shared" si="75"/>
        <v>5.250432575069537E-5</v>
      </c>
    </row>
    <row r="664" spans="1:12" x14ac:dyDescent="0.2">
      <c r="A664" s="2"/>
      <c r="B664" s="2"/>
      <c r="C664" s="2">
        <v>2</v>
      </c>
      <c r="D664" s="7"/>
      <c r="E664">
        <f t="shared" si="71"/>
        <v>108.83333333333299</v>
      </c>
      <c r="F664">
        <f t="shared" si="70"/>
        <v>1.8138888888888831</v>
      </c>
      <c r="G664">
        <f t="shared" si="72"/>
        <v>3.4355836222929367E-3</v>
      </c>
      <c r="H664">
        <f t="shared" si="73"/>
        <v>0</v>
      </c>
      <c r="I664">
        <f t="shared" si="74"/>
        <v>67.352104787541023</v>
      </c>
      <c r="J664">
        <f t="shared" si="76"/>
        <v>5.1009298568030206E-3</v>
      </c>
      <c r="L664">
        <f t="shared" si="75"/>
        <v>5.1009298568030209E-5</v>
      </c>
    </row>
    <row r="665" spans="1:12" x14ac:dyDescent="0.2">
      <c r="A665" s="2"/>
      <c r="B665" s="2"/>
      <c r="C665" s="2">
        <v>2</v>
      </c>
      <c r="D665" s="7"/>
      <c r="E665">
        <f t="shared" si="71"/>
        <v>108.99999999999966</v>
      </c>
      <c r="F665">
        <f t="shared" si="70"/>
        <v>1.8166666666666609</v>
      </c>
      <c r="G665">
        <f t="shared" si="72"/>
        <v>3.3377575702446594E-3</v>
      </c>
      <c r="H665">
        <f t="shared" si="73"/>
        <v>0</v>
      </c>
      <c r="I665">
        <f t="shared" si="74"/>
        <v>67.352104787541023</v>
      </c>
      <c r="J665">
        <f t="shared" si="76"/>
        <v>4.9556841330697168E-3</v>
      </c>
      <c r="L665">
        <f t="shared" si="75"/>
        <v>4.9556841330697165E-5</v>
      </c>
    </row>
    <row r="666" spans="1:12" x14ac:dyDescent="0.2">
      <c r="A666" s="2"/>
      <c r="B666" s="2"/>
      <c r="C666" s="2">
        <v>2</v>
      </c>
      <c r="D666" s="7"/>
      <c r="E666">
        <f t="shared" si="71"/>
        <v>109.16666666666632</v>
      </c>
      <c r="F666">
        <f t="shared" si="70"/>
        <v>1.8194444444444386</v>
      </c>
      <c r="G666">
        <f t="shared" si="72"/>
        <v>3.2427170526241442E-3</v>
      </c>
      <c r="H666">
        <f t="shared" si="73"/>
        <v>0</v>
      </c>
      <c r="I666">
        <f t="shared" si="74"/>
        <v>67.352104787541023</v>
      </c>
      <c r="J666">
        <f t="shared" si="76"/>
        <v>4.8145741886658766E-3</v>
      </c>
      <c r="L666">
        <f t="shared" si="75"/>
        <v>4.8145741886658769E-5</v>
      </c>
    </row>
    <row r="667" spans="1:12" x14ac:dyDescent="0.2">
      <c r="A667" s="2"/>
      <c r="B667" s="2"/>
      <c r="C667" s="2">
        <v>2</v>
      </c>
      <c r="D667" s="7"/>
      <c r="E667">
        <f t="shared" si="71"/>
        <v>109.33333333333299</v>
      </c>
      <c r="F667">
        <f t="shared" si="70"/>
        <v>1.8222222222222164</v>
      </c>
      <c r="G667">
        <f t="shared" si="72"/>
        <v>3.1503827531154834E-3</v>
      </c>
      <c r="H667">
        <f t="shared" si="73"/>
        <v>0</v>
      </c>
      <c r="I667">
        <f t="shared" si="74"/>
        <v>67.352104787541023</v>
      </c>
      <c r="J667">
        <f t="shared" si="76"/>
        <v>4.6774822599133532E-3</v>
      </c>
      <c r="L667">
        <f t="shared" si="75"/>
        <v>4.6774822599133534E-5</v>
      </c>
    </row>
    <row r="668" spans="1:12" x14ac:dyDescent="0.2">
      <c r="A668" s="2"/>
      <c r="B668" s="2"/>
      <c r="C668" s="2">
        <v>2</v>
      </c>
      <c r="D668" s="7"/>
      <c r="E668">
        <f t="shared" si="71"/>
        <v>109.49999999999964</v>
      </c>
      <c r="F668">
        <f t="shared" si="70"/>
        <v>1.8249999999999942</v>
      </c>
      <c r="G668">
        <f t="shared" si="72"/>
        <v>3.0606776138842684E-3</v>
      </c>
      <c r="H668">
        <f t="shared" si="73"/>
        <v>0</v>
      </c>
      <c r="I668">
        <f t="shared" si="74"/>
        <v>67.352104787541023</v>
      </c>
      <c r="J668">
        <f t="shared" si="76"/>
        <v>4.5442939363796106E-3</v>
      </c>
      <c r="L668">
        <f t="shared" si="75"/>
        <v>4.5442939363796109E-5</v>
      </c>
    </row>
    <row r="669" spans="1:12" x14ac:dyDescent="0.2">
      <c r="A669" s="2"/>
      <c r="B669" s="2"/>
      <c r="C669" s="2">
        <v>2</v>
      </c>
      <c r="D669" s="7"/>
      <c r="E669">
        <f t="shared" si="71"/>
        <v>109.66666666666632</v>
      </c>
      <c r="F669">
        <f t="shared" si="70"/>
        <v>1.827777777777772</v>
      </c>
      <c r="G669">
        <f t="shared" si="72"/>
        <v>2.9735267712687691E-3</v>
      </c>
      <c r="H669">
        <f t="shared" si="73"/>
        <v>0</v>
      </c>
      <c r="I669">
        <f t="shared" si="74"/>
        <v>67.352104787541023</v>
      </c>
      <c r="J669">
        <f t="shared" si="76"/>
        <v>4.4148980653961984E-3</v>
      </c>
      <c r="L669">
        <f t="shared" si="75"/>
        <v>4.4148980653961984E-5</v>
      </c>
    </row>
    <row r="670" spans="1:12" x14ac:dyDescent="0.2">
      <c r="A670" s="2"/>
      <c r="B670" s="2"/>
      <c r="C670" s="2">
        <v>2</v>
      </c>
      <c r="D670" s="7"/>
      <c r="E670">
        <f t="shared" si="71"/>
        <v>109.83333333333299</v>
      </c>
      <c r="F670">
        <f t="shared" si="70"/>
        <v>1.8305555555555497</v>
      </c>
      <c r="G670">
        <f t="shared" si="72"/>
        <v>2.8888574933022665E-3</v>
      </c>
      <c r="H670">
        <f t="shared" si="73"/>
        <v>0</v>
      </c>
      <c r="I670">
        <f t="shared" si="74"/>
        <v>67.352104787541023</v>
      </c>
      <c r="J670">
        <f t="shared" si="76"/>
        <v>4.2891866592959915E-3</v>
      </c>
      <c r="L670">
        <f t="shared" si="75"/>
        <v>4.2891866592959915E-5</v>
      </c>
    </row>
    <row r="671" spans="1:12" x14ac:dyDescent="0.2">
      <c r="A671" s="2"/>
      <c r="B671" s="2"/>
      <c r="C671" s="2">
        <v>2</v>
      </c>
      <c r="D671" s="7"/>
      <c r="E671">
        <f t="shared" si="71"/>
        <v>109.99999999999964</v>
      </c>
      <c r="F671">
        <f t="shared" si="70"/>
        <v>1.8333333333333275</v>
      </c>
      <c r="G671">
        <f t="shared" si="72"/>
        <v>2.8065991190143981E-3</v>
      </c>
      <c r="H671">
        <f t="shared" si="73"/>
        <v>0</v>
      </c>
      <c r="I671">
        <f t="shared" si="74"/>
        <v>67.352104787541023</v>
      </c>
      <c r="J671">
        <f t="shared" si="76"/>
        <v>4.1670548052918019E-3</v>
      </c>
      <c r="L671">
        <f t="shared" si="75"/>
        <v>4.1670548052918016E-5</v>
      </c>
    </row>
    <row r="672" spans="1:12" x14ac:dyDescent="0.2">
      <c r="A672" s="2"/>
      <c r="B672" s="2"/>
      <c r="C672" s="2">
        <v>1</v>
      </c>
      <c r="D672" s="7"/>
      <c r="E672">
        <f t="shared" si="71"/>
        <v>110.16666666666632</v>
      </c>
      <c r="F672">
        <f t="shared" si="70"/>
        <v>1.8361111111111053</v>
      </c>
      <c r="G672">
        <f t="shared" si="72"/>
        <v>2.7266829994608568E-3</v>
      </c>
      <c r="H672">
        <f t="shared" si="73"/>
        <v>0</v>
      </c>
      <c r="I672">
        <f t="shared" si="74"/>
        <v>67.352104787541023</v>
      </c>
      <c r="J672">
        <f t="shared" si="76"/>
        <v>4.0484005779211308E-3</v>
      </c>
      <c r="L672">
        <f t="shared" si="75"/>
        <v>4.0484005779211312E-5</v>
      </c>
    </row>
    <row r="673" spans="1:12" x14ac:dyDescent="0.2">
      <c r="A673" s="2"/>
      <c r="B673" s="2"/>
      <c r="C673" s="2">
        <v>1</v>
      </c>
      <c r="D673" s="7"/>
      <c r="E673">
        <f t="shared" si="71"/>
        <v>110.33333333333299</v>
      </c>
      <c r="F673">
        <f t="shared" si="70"/>
        <v>1.838888888888883</v>
      </c>
      <c r="G673">
        <f t="shared" si="72"/>
        <v>2.6490424404322322E-3</v>
      </c>
      <c r="H673">
        <f t="shared" si="73"/>
        <v>0</v>
      </c>
      <c r="I673">
        <f t="shared" si="74"/>
        <v>67.352104787541023</v>
      </c>
      <c r="J673">
        <f t="shared" si="76"/>
        <v>3.933124953984006E-3</v>
      </c>
      <c r="L673">
        <f t="shared" si="75"/>
        <v>3.9331249539840058E-5</v>
      </c>
    </row>
    <row r="674" spans="1:12" x14ac:dyDescent="0.2">
      <c r="A674" s="2"/>
      <c r="B674" s="2"/>
      <c r="C674" s="2">
        <v>1</v>
      </c>
      <c r="D674" s="7"/>
      <c r="E674">
        <f t="shared" si="71"/>
        <v>110.49999999999964</v>
      </c>
      <c r="F674">
        <f t="shared" si="70"/>
        <v>1.8416666666666608</v>
      </c>
      <c r="G674">
        <f t="shared" si="72"/>
        <v>2.5736126467941827E-3</v>
      </c>
      <c r="H674">
        <f t="shared" si="73"/>
        <v>0</v>
      </c>
      <c r="I674">
        <f t="shared" si="74"/>
        <v>67.352104787541023</v>
      </c>
      <c r="J674">
        <f t="shared" si="76"/>
        <v>3.8211317299029035E-3</v>
      </c>
      <c r="L674">
        <f t="shared" si="75"/>
        <v>3.8211317299029035E-5</v>
      </c>
    </row>
    <row r="675" spans="1:12" x14ac:dyDescent="0.2">
      <c r="A675" s="2"/>
      <c r="B675" s="2"/>
      <c r="C675" s="2">
        <v>1</v>
      </c>
      <c r="D675" s="7"/>
      <c r="E675">
        <f t="shared" si="71"/>
        <v>110.66666666666632</v>
      </c>
      <c r="F675">
        <f t="shared" si="70"/>
        <v>1.8444444444444386</v>
      </c>
      <c r="G675">
        <f t="shared" si="72"/>
        <v>2.5003306684124832E-3</v>
      </c>
      <c r="H675">
        <f t="shared" si="73"/>
        <v>0</v>
      </c>
      <c r="I675">
        <f t="shared" si="74"/>
        <v>67.352104787541023</v>
      </c>
      <c r="J675">
        <f t="shared" si="76"/>
        <v>3.7123274414358034E-3</v>
      </c>
      <c r="L675">
        <f t="shared" si="75"/>
        <v>3.7123274414358035E-5</v>
      </c>
    </row>
    <row r="676" spans="1:12" x14ac:dyDescent="0.2">
      <c r="A676" s="2"/>
      <c r="B676" s="2"/>
      <c r="C676" s="2">
        <v>1</v>
      </c>
      <c r="D676" s="7"/>
      <c r="E676">
        <f t="shared" si="71"/>
        <v>110.83333333333297</v>
      </c>
      <c r="F676">
        <f t="shared" si="70"/>
        <v>1.8472222222222163</v>
      </c>
      <c r="G676">
        <f t="shared" si="72"/>
        <v>2.4291353476178241E-3</v>
      </c>
      <c r="H676">
        <f t="shared" si="73"/>
        <v>0</v>
      </c>
      <c r="I676">
        <f t="shared" si="74"/>
        <v>67.352104787541023</v>
      </c>
      <c r="J676">
        <f t="shared" si="76"/>
        <v>3.6066212856753549E-3</v>
      </c>
      <c r="L676">
        <f t="shared" si="75"/>
        <v>3.6066212856753548E-5</v>
      </c>
    </row>
    <row r="677" spans="1:12" x14ac:dyDescent="0.2">
      <c r="A677" s="2"/>
      <c r="B677" s="2"/>
      <c r="C677" s="2">
        <v>1</v>
      </c>
      <c r="D677" s="7"/>
      <c r="E677">
        <f t="shared" si="71"/>
        <v>110.99999999999964</v>
      </c>
      <c r="F677">
        <f t="shared" si="70"/>
        <v>1.8499999999999941</v>
      </c>
      <c r="G677">
        <f t="shared" si="72"/>
        <v>2.359967268166516E-3</v>
      </c>
      <c r="H677">
        <f t="shared" si="73"/>
        <v>0</v>
      </c>
      <c r="I677">
        <f t="shared" si="74"/>
        <v>67.352104787541023</v>
      </c>
      <c r="J677">
        <f t="shared" si="76"/>
        <v>3.5039250452690665E-3</v>
      </c>
      <c r="L677">
        <f t="shared" si="75"/>
        <v>3.5039250452690665E-5</v>
      </c>
    </row>
    <row r="678" spans="1:12" x14ac:dyDescent="0.2">
      <c r="A678" s="2"/>
      <c r="B678" s="2"/>
      <c r="C678" s="2">
        <v>1</v>
      </c>
      <c r="D678" s="7"/>
      <c r="E678">
        <f t="shared" si="71"/>
        <v>111.16666666666632</v>
      </c>
      <c r="F678">
        <f t="shared" si="70"/>
        <v>1.8527777777777719</v>
      </c>
      <c r="G678">
        <f t="shared" si="72"/>
        <v>2.2927687056545063E-3</v>
      </c>
      <c r="H678">
        <f t="shared" si="73"/>
        <v>0</v>
      </c>
      <c r="I678">
        <f t="shared" si="74"/>
        <v>67.352104787541023</v>
      </c>
      <c r="J678">
        <f t="shared" si="76"/>
        <v>3.404153014797288E-3</v>
      </c>
      <c r="L678">
        <f t="shared" si="75"/>
        <v>3.4041530147972879E-5</v>
      </c>
    </row>
    <row r="679" spans="1:12" x14ac:dyDescent="0.2">
      <c r="A679" s="2"/>
      <c r="B679" s="2"/>
      <c r="C679" s="2">
        <v>1</v>
      </c>
      <c r="D679" s="7"/>
      <c r="E679">
        <f t="shared" si="71"/>
        <v>111.33333333333297</v>
      </c>
      <c r="F679">
        <f t="shared" si="70"/>
        <v>1.8555555555555496</v>
      </c>
      <c r="G679">
        <f t="shared" si="72"/>
        <v>2.2274835793433256E-3</v>
      </c>
      <c r="H679">
        <f t="shared" si="73"/>
        <v>0</v>
      </c>
      <c r="I679">
        <f t="shared" si="74"/>
        <v>67.352104787541023</v>
      </c>
      <c r="J679">
        <f t="shared" si="76"/>
        <v>3.30722192924752E-3</v>
      </c>
      <c r="L679">
        <f t="shared" si="75"/>
        <v>3.3072219292475202E-5</v>
      </c>
    </row>
    <row r="680" spans="1:12" x14ac:dyDescent="0.2">
      <c r="A680" s="2"/>
      <c r="B680" s="2"/>
      <c r="C680" s="2">
        <v>1</v>
      </c>
      <c r="D680" s="7"/>
      <c r="E680">
        <f t="shared" si="71"/>
        <v>111.49999999999964</v>
      </c>
      <c r="F680">
        <f t="shared" si="70"/>
        <v>1.8583333333333274</v>
      </c>
      <c r="G680">
        <f t="shared" si="72"/>
        <v>2.164057405357757E-3</v>
      </c>
      <c r="H680">
        <f t="shared" si="73"/>
        <v>0</v>
      </c>
      <c r="I680">
        <f t="shared" si="74"/>
        <v>67.352104787541023</v>
      </c>
      <c r="J680">
        <f t="shared" si="76"/>
        <v>3.2130508945253785E-3</v>
      </c>
      <c r="L680">
        <f t="shared" si="75"/>
        <v>3.2130508945253785E-5</v>
      </c>
    </row>
    <row r="681" spans="1:12" x14ac:dyDescent="0.2">
      <c r="A681" s="2"/>
      <c r="B681" s="2"/>
      <c r="C681" s="2">
        <v>1</v>
      </c>
      <c r="D681" s="7"/>
      <c r="E681">
        <f t="shared" si="71"/>
        <v>111.66666666666632</v>
      </c>
      <c r="F681">
        <f t="shared" si="70"/>
        <v>1.8611111111111052</v>
      </c>
      <c r="G681">
        <f t="shared" si="72"/>
        <v>2.1024372512161746E-3</v>
      </c>
      <c r="H681">
        <f t="shared" si="73"/>
        <v>0</v>
      </c>
      <c r="I681">
        <f t="shared" si="74"/>
        <v>67.352104787541023</v>
      </c>
      <c r="J681">
        <f t="shared" si="76"/>
        <v>3.1215613199442123E-3</v>
      </c>
      <c r="L681">
        <f t="shared" si="75"/>
        <v>3.1215613199442122E-5</v>
      </c>
    </row>
    <row r="682" spans="1:12" x14ac:dyDescent="0.2">
      <c r="A682" s="2"/>
      <c r="B682" s="2"/>
      <c r="C682" s="2">
        <v>1</v>
      </c>
      <c r="D682" s="7"/>
      <c r="E682">
        <f t="shared" si="71"/>
        <v>111.83333333333297</v>
      </c>
      <c r="F682">
        <f t="shared" si="70"/>
        <v>1.8638888888888829</v>
      </c>
      <c r="G682">
        <f t="shared" si="72"/>
        <v>2.0425716916556008E-3</v>
      </c>
      <c r="H682">
        <f t="shared" si="73"/>
        <v>0</v>
      </c>
      <c r="I682">
        <f t="shared" si="74"/>
        <v>67.352104787541023</v>
      </c>
      <c r="J682">
        <f t="shared" si="76"/>
        <v>3.032676852637041E-3</v>
      </c>
      <c r="L682">
        <f t="shared" si="75"/>
        <v>3.0326768526370412E-5</v>
      </c>
    </row>
    <row r="683" spans="1:12" x14ac:dyDescent="0.2">
      <c r="A683" s="2"/>
      <c r="B683" s="2"/>
      <c r="C683" s="2">
        <v>1</v>
      </c>
      <c r="D683" s="7"/>
      <c r="E683">
        <f t="shared" si="71"/>
        <v>111.99999999999964</v>
      </c>
      <c r="F683">
        <f t="shared" si="70"/>
        <v>1.8666666666666607</v>
      </c>
      <c r="G683">
        <f t="shared" si="72"/>
        <v>1.9844107657146165E-3</v>
      </c>
      <c r="H683">
        <f t="shared" si="73"/>
        <v>0</v>
      </c>
      <c r="I683">
        <f t="shared" si="74"/>
        <v>67.352104787541023</v>
      </c>
      <c r="J683">
        <f t="shared" si="76"/>
        <v>2.9463233138360633E-3</v>
      </c>
      <c r="L683">
        <f t="shared" si="75"/>
        <v>2.9463233138360633E-5</v>
      </c>
    </row>
    <row r="684" spans="1:12" x14ac:dyDescent="0.2">
      <c r="A684" s="2"/>
      <c r="B684" s="2"/>
      <c r="C684" s="2">
        <v>1</v>
      </c>
      <c r="D684" s="7"/>
      <c r="E684">
        <f t="shared" si="71"/>
        <v>112.1666666666663</v>
      </c>
      <c r="F684">
        <f t="shared" si="70"/>
        <v>1.8694444444444385</v>
      </c>
      <c r="G684">
        <f t="shared" si="72"/>
        <v>1.9279059350383084E-3</v>
      </c>
      <c r="H684">
        <f t="shared" si="73"/>
        <v>0</v>
      </c>
      <c r="I684">
        <f t="shared" si="74"/>
        <v>67.352104787541023</v>
      </c>
      <c r="J684">
        <f t="shared" si="76"/>
        <v>2.862428636966573E-3</v>
      </c>
      <c r="L684">
        <f t="shared" si="75"/>
        <v>2.8624286369665729E-5</v>
      </c>
    </row>
    <row r="685" spans="1:12" x14ac:dyDescent="0.2">
      <c r="A685" s="2"/>
      <c r="B685" s="2"/>
      <c r="C685" s="2">
        <v>1</v>
      </c>
      <c r="D685" s="7"/>
      <c r="E685">
        <f t="shared" si="71"/>
        <v>112.33333333333297</v>
      </c>
      <c r="F685">
        <f t="shared" si="70"/>
        <v>1.8722222222222162</v>
      </c>
      <c r="G685">
        <f t="shared" si="72"/>
        <v>1.8730100433704564E-3</v>
      </c>
      <c r="H685">
        <f t="shared" si="73"/>
        <v>0</v>
      </c>
      <c r="I685">
        <f t="shared" si="74"/>
        <v>67.352104787541023</v>
      </c>
      <c r="J685">
        <f t="shared" si="76"/>
        <v>2.780922807503606E-3</v>
      </c>
      <c r="L685">
        <f t="shared" si="75"/>
        <v>2.7809228075036062E-5</v>
      </c>
    </row>
    <row r="686" spans="1:12" x14ac:dyDescent="0.2">
      <c r="A686" s="2"/>
      <c r="B686" s="2"/>
      <c r="C686" s="2">
        <v>1</v>
      </c>
      <c r="D686" s="7"/>
      <c r="E686">
        <f t="shared" si="71"/>
        <v>112.49999999999964</v>
      </c>
      <c r="F686">
        <f t="shared" si="70"/>
        <v>1.874999999999994</v>
      </c>
      <c r="G686">
        <f t="shared" si="72"/>
        <v>1.8196772771991543E-3</v>
      </c>
      <c r="H686">
        <f t="shared" si="73"/>
        <v>0</v>
      </c>
      <c r="I686">
        <f t="shared" si="74"/>
        <v>67.352104787541023</v>
      </c>
      <c r="J686">
        <f t="shared" si="76"/>
        <v>2.701737804541133E-3</v>
      </c>
      <c r="L686">
        <f t="shared" si="75"/>
        <v>2.701737804541133E-5</v>
      </c>
    </row>
    <row r="687" spans="1:12" x14ac:dyDescent="0.2">
      <c r="A687" s="2"/>
      <c r="B687" s="2"/>
      <c r="C687" s="2">
        <v>1</v>
      </c>
      <c r="D687" s="7"/>
      <c r="E687">
        <f t="shared" si="71"/>
        <v>112.6666666666663</v>
      </c>
      <c r="F687">
        <f t="shared" si="70"/>
        <v>1.8777777777777718</v>
      </c>
      <c r="G687">
        <f t="shared" si="72"/>
        <v>1.7678631275230229E-3</v>
      </c>
      <c r="H687">
        <f t="shared" si="73"/>
        <v>0</v>
      </c>
      <c r="I687">
        <f t="shared" si="74"/>
        <v>67.352104787541023</v>
      </c>
      <c r="J687">
        <f t="shared" si="76"/>
        <v>2.6248075440250341E-3</v>
      </c>
      <c r="L687">
        <f t="shared" si="75"/>
        <v>2.624807544025034E-5</v>
      </c>
    </row>
    <row r="688" spans="1:12" x14ac:dyDescent="0.2">
      <c r="A688" s="2"/>
      <c r="B688" s="2"/>
      <c r="C688" s="2">
        <v>1</v>
      </c>
      <c r="D688" s="7"/>
      <c r="E688">
        <f t="shared" si="71"/>
        <v>112.83333333333297</v>
      </c>
      <c r="F688">
        <f t="shared" si="70"/>
        <v>1.8805555555555495</v>
      </c>
      <c r="G688">
        <f t="shared" si="72"/>
        <v>1.7175243527061043E-3</v>
      </c>
      <c r="H688">
        <f t="shared" si="73"/>
        <v>0</v>
      </c>
      <c r="I688">
        <f t="shared" si="74"/>
        <v>67.352104787541023</v>
      </c>
      <c r="J688">
        <f t="shared" si="76"/>
        <v>2.5500678236024727E-3</v>
      </c>
      <c r="L688">
        <f t="shared" si="75"/>
        <v>2.5500678236024726E-5</v>
      </c>
    </row>
    <row r="689" spans="1:12" x14ac:dyDescent="0.2">
      <c r="A689" s="2"/>
      <c r="B689" s="2"/>
      <c r="C689" s="2">
        <v>1</v>
      </c>
      <c r="D689" s="7"/>
      <c r="E689">
        <f t="shared" si="71"/>
        <v>112.99999999999964</v>
      </c>
      <c r="F689">
        <f t="shared" ref="F689:F752" si="77">Tsamp+F688</f>
        <v>1.8833333333333273</v>
      </c>
      <c r="G689">
        <f t="shared" si="72"/>
        <v>1.6686189423904404E-3</v>
      </c>
      <c r="H689">
        <f t="shared" si="73"/>
        <v>0</v>
      </c>
      <c r="I689">
        <f t="shared" si="74"/>
        <v>67.352104787541023</v>
      </c>
      <c r="J689">
        <f t="shared" si="76"/>
        <v>2.477456269041656E-3</v>
      </c>
      <c r="L689">
        <f t="shared" si="75"/>
        <v>2.477456269041656E-5</v>
      </c>
    </row>
    <row r="690" spans="1:12" x14ac:dyDescent="0.2">
      <c r="A690" s="2"/>
      <c r="B690" s="2"/>
      <c r="C690" s="2">
        <v>1</v>
      </c>
      <c r="D690" s="7"/>
      <c r="E690">
        <f t="shared" si="71"/>
        <v>113.1666666666663</v>
      </c>
      <c r="F690">
        <f t="shared" si="77"/>
        <v>1.8861111111111051</v>
      </c>
      <c r="G690">
        <f t="shared" si="72"/>
        <v>1.6211060824362169E-3</v>
      </c>
      <c r="H690">
        <f t="shared" si="73"/>
        <v>0</v>
      </c>
      <c r="I690">
        <f t="shared" si="74"/>
        <v>67.352104787541023</v>
      </c>
      <c r="J690">
        <f t="shared" si="76"/>
        <v>2.4069122821772505E-3</v>
      </c>
      <c r="L690">
        <f t="shared" si="75"/>
        <v>2.4069122821772504E-5</v>
      </c>
    </row>
    <row r="691" spans="1:12" x14ac:dyDescent="0.2">
      <c r="A691" s="2"/>
      <c r="B691" s="2"/>
      <c r="C691" s="2">
        <v>1</v>
      </c>
      <c r="D691" s="7"/>
      <c r="E691">
        <f t="shared" si="71"/>
        <v>113.33333333333297</v>
      </c>
      <c r="F691">
        <f t="shared" si="77"/>
        <v>1.8888888888888828</v>
      </c>
      <c r="G691">
        <f t="shared" si="72"/>
        <v>1.5749461208602149E-3</v>
      </c>
      <c r="H691">
        <f t="shared" si="73"/>
        <v>0</v>
      </c>
      <c r="I691">
        <f t="shared" si="74"/>
        <v>67.352104787541023</v>
      </c>
      <c r="J691">
        <f t="shared" si="76"/>
        <v>2.3383769903380256E-3</v>
      </c>
      <c r="L691">
        <f t="shared" si="75"/>
        <v>2.3383769903380255E-5</v>
      </c>
    </row>
    <row r="692" spans="1:12" x14ac:dyDescent="0.2">
      <c r="A692" s="2"/>
      <c r="B692" s="2"/>
      <c r="C692" s="2">
        <v>1</v>
      </c>
      <c r="D692" s="7"/>
      <c r="E692">
        <f t="shared" si="71"/>
        <v>113.49999999999963</v>
      </c>
      <c r="F692">
        <f t="shared" si="77"/>
        <v>1.8916666666666606</v>
      </c>
      <c r="G692">
        <f t="shared" si="72"/>
        <v>1.5301005347441432E-3</v>
      </c>
      <c r="H692">
        <f t="shared" si="73"/>
        <v>0</v>
      </c>
      <c r="I692">
        <f t="shared" si="74"/>
        <v>67.352104787541023</v>
      </c>
      <c r="J692">
        <f t="shared" si="76"/>
        <v>2.2717931972145071E-3</v>
      </c>
      <c r="L692">
        <f t="shared" si="75"/>
        <v>2.271793197214507E-5</v>
      </c>
    </row>
    <row r="693" spans="1:12" x14ac:dyDescent="0.2">
      <c r="A693" s="2"/>
      <c r="B693" s="2"/>
      <c r="C693" s="2">
        <v>1</v>
      </c>
      <c r="D693" s="7"/>
      <c r="E693">
        <f t="shared" si="71"/>
        <v>113.6666666666663</v>
      </c>
      <c r="F693">
        <f t="shared" si="77"/>
        <v>1.8944444444444384</v>
      </c>
      <c r="G693">
        <f t="shared" si="72"/>
        <v>1.4865318980852348E-3</v>
      </c>
      <c r="H693">
        <f t="shared" si="73"/>
        <v>0</v>
      </c>
      <c r="I693">
        <f t="shared" si="74"/>
        <v>67.352104787541023</v>
      </c>
      <c r="J693">
        <f t="shared" si="76"/>
        <v>2.2071053351256477E-3</v>
      </c>
      <c r="L693">
        <f t="shared" si="75"/>
        <v>2.2071053351256477E-5</v>
      </c>
    </row>
    <row r="694" spans="1:12" x14ac:dyDescent="0.2">
      <c r="A694" s="2"/>
      <c r="B694" s="2"/>
      <c r="C694" s="2">
        <v>1</v>
      </c>
      <c r="D694" s="7"/>
      <c r="E694">
        <f t="shared" si="71"/>
        <v>113.83333333333297</v>
      </c>
      <c r="F694">
        <f t="shared" si="77"/>
        <v>1.8972222222222161</v>
      </c>
      <c r="G694">
        <f t="shared" si="72"/>
        <v>1.4442038505622771E-3</v>
      </c>
      <c r="H694">
        <f t="shared" si="73"/>
        <v>0</v>
      </c>
      <c r="I694">
        <f t="shared" si="74"/>
        <v>67.352104787541023</v>
      </c>
      <c r="J694">
        <f t="shared" si="76"/>
        <v>2.1442594186446714E-3</v>
      </c>
      <c r="L694">
        <f t="shared" si="75"/>
        <v>2.1442594186446714E-5</v>
      </c>
    </row>
    <row r="695" spans="1:12" x14ac:dyDescent="0.2">
      <c r="A695" s="2"/>
      <c r="B695" s="2"/>
      <c r="C695" s="2">
        <v>1</v>
      </c>
      <c r="D695" s="7"/>
      <c r="E695">
        <f t="shared" si="71"/>
        <v>113.99999999999963</v>
      </c>
      <c r="F695">
        <f t="shared" si="77"/>
        <v>1.8999999999999939</v>
      </c>
      <c r="G695">
        <f t="shared" si="72"/>
        <v>1.4030810671910095E-3</v>
      </c>
      <c r="H695">
        <f t="shared" si="73"/>
        <v>0</v>
      </c>
      <c r="I695">
        <f t="shared" si="74"/>
        <v>67.352104787541023</v>
      </c>
      <c r="J695">
        <f t="shared" si="76"/>
        <v>2.083202999545391E-3</v>
      </c>
      <c r="L695">
        <f t="shared" si="75"/>
        <v>2.0832029995453912E-5</v>
      </c>
    </row>
    <row r="696" spans="1:12" x14ac:dyDescent="0.2">
      <c r="A696" s="2"/>
      <c r="B696" s="2"/>
      <c r="C696" s="2">
        <v>1</v>
      </c>
      <c r="D696" s="7"/>
      <c r="E696">
        <f t="shared" si="71"/>
        <v>114.1666666666663</v>
      </c>
      <c r="F696">
        <f t="shared" si="77"/>
        <v>1.9027777777777717</v>
      </c>
      <c r="G696">
        <f t="shared" si="72"/>
        <v>1.3631292288435637E-3</v>
      </c>
      <c r="H696">
        <f t="shared" si="73"/>
        <v>0</v>
      </c>
      <c r="I696">
        <f t="shared" si="74"/>
        <v>67.352104787541023</v>
      </c>
      <c r="J696">
        <f t="shared" si="76"/>
        <v>2.0238851230314023E-3</v>
      </c>
      <c r="L696">
        <f t="shared" si="75"/>
        <v>2.0238851230314025E-5</v>
      </c>
    </row>
    <row r="697" spans="1:12" x14ac:dyDescent="0.2">
      <c r="A697" s="2"/>
      <c r="B697" s="2"/>
      <c r="C697" s="2">
        <v>1</v>
      </c>
      <c r="D697" s="7"/>
      <c r="E697">
        <f t="shared" si="71"/>
        <v>114.33333333333297</v>
      </c>
      <c r="F697">
        <f t="shared" si="77"/>
        <v>1.9055555555555495</v>
      </c>
      <c r="G697">
        <f t="shared" si="72"/>
        <v>1.3243149936073451E-3</v>
      </c>
      <c r="H697">
        <f t="shared" si="73"/>
        <v>0</v>
      </c>
      <c r="I697">
        <f t="shared" si="74"/>
        <v>67.352104787541023</v>
      </c>
      <c r="J697">
        <f t="shared" si="76"/>
        <v>1.9662562852116247E-3</v>
      </c>
      <c r="L697">
        <f t="shared" si="75"/>
        <v>1.9662562852116246E-5</v>
      </c>
    </row>
    <row r="698" spans="1:12" x14ac:dyDescent="0.2">
      <c r="A698" s="2"/>
      <c r="B698" s="2"/>
      <c r="C698" s="2">
        <v>1</v>
      </c>
      <c r="D698" s="7"/>
      <c r="E698">
        <f t="shared" si="71"/>
        <v>114.49999999999963</v>
      </c>
      <c r="F698">
        <f t="shared" si="77"/>
        <v>1.9083333333333272</v>
      </c>
      <c r="G698">
        <f t="shared" si="72"/>
        <v>1.286605968959451E-3</v>
      </c>
      <c r="H698">
        <f t="shared" si="73"/>
        <v>0</v>
      </c>
      <c r="I698">
        <f t="shared" si="74"/>
        <v>67.352104787541023</v>
      </c>
      <c r="J698">
        <f t="shared" si="76"/>
        <v>1.9102683917866972E-3</v>
      </c>
      <c r="L698">
        <f t="shared" si="75"/>
        <v>1.9102683917866971E-5</v>
      </c>
    </row>
    <row r="699" spans="1:12" x14ac:dyDescent="0.2">
      <c r="A699" s="2"/>
      <c r="B699" s="2"/>
      <c r="C699" s="2">
        <v>1</v>
      </c>
      <c r="D699" s="7"/>
      <c r="E699">
        <f t="shared" si="71"/>
        <v>114.6666666666663</v>
      </c>
      <c r="F699">
        <f t="shared" si="77"/>
        <v>1.911111111111105</v>
      </c>
      <c r="G699">
        <f t="shared" si="72"/>
        <v>1.2499706847334047E-3</v>
      </c>
      <c r="H699">
        <f t="shared" si="73"/>
        <v>0</v>
      </c>
      <c r="I699">
        <f t="shared" si="74"/>
        <v>67.352104787541023</v>
      </c>
      <c r="J699">
        <f t="shared" si="76"/>
        <v>1.8558747179117522E-3</v>
      </c>
      <c r="L699">
        <f t="shared" si="75"/>
        <v>1.8558747179117522E-5</v>
      </c>
    </row>
    <row r="700" spans="1:12" x14ac:dyDescent="0.2">
      <c r="A700" s="2"/>
      <c r="B700" s="2"/>
      <c r="C700" s="2">
        <v>1</v>
      </c>
      <c r="D700" s="7"/>
      <c r="E700">
        <f t="shared" si="71"/>
        <v>114.83333333333296</v>
      </c>
      <c r="F700">
        <f t="shared" si="77"/>
        <v>1.9138888888888828</v>
      </c>
      <c r="G700">
        <f t="shared" si="72"/>
        <v>1.214378566855645E-3</v>
      </c>
      <c r="H700">
        <f t="shared" si="73"/>
        <v>0</v>
      </c>
      <c r="I700">
        <f t="shared" si="74"/>
        <v>67.352104787541023</v>
      </c>
      <c r="J700">
        <f t="shared" si="76"/>
        <v>1.8030298692020745E-3</v>
      </c>
      <c r="L700">
        <f t="shared" si="75"/>
        <v>1.8030298692020745E-5</v>
      </c>
    </row>
    <row r="701" spans="1:12" x14ac:dyDescent="0.2">
      <c r="A701" s="2"/>
      <c r="B701" s="2"/>
      <c r="C701" s="2">
        <v>1</v>
      </c>
      <c r="D701" s="7"/>
      <c r="E701">
        <f t="shared" si="71"/>
        <v>114.99999999999963</v>
      </c>
      <c r="F701">
        <f t="shared" si="77"/>
        <v>1.9166666666666605</v>
      </c>
      <c r="G701">
        <f t="shared" si="72"/>
        <v>1.1797999118298519E-3</v>
      </c>
      <c r="H701">
        <f t="shared" si="73"/>
        <v>0</v>
      </c>
      <c r="I701">
        <f t="shared" si="74"/>
        <v>67.352104787541023</v>
      </c>
      <c r="J701">
        <f t="shared" si="76"/>
        <v>1.7516897438490957E-3</v>
      </c>
      <c r="L701">
        <f t="shared" si="75"/>
        <v>1.7516897438490956E-5</v>
      </c>
    </row>
    <row r="702" spans="1:12" x14ac:dyDescent="0.2">
      <c r="A702" s="2"/>
      <c r="B702" s="2"/>
      <c r="C702" s="2">
        <v>1</v>
      </c>
      <c r="D702" s="7"/>
      <c r="E702">
        <f t="shared" si="71"/>
        <v>115.1666666666663</v>
      </c>
      <c r="F702">
        <f t="shared" si="77"/>
        <v>1.9194444444444383</v>
      </c>
      <c r="G702">
        <f t="shared" si="72"/>
        <v>1.1462058619478145E-3</v>
      </c>
      <c r="H702">
        <f t="shared" si="73"/>
        <v>0</v>
      </c>
      <c r="I702">
        <f t="shared" si="74"/>
        <v>67.352104787541023</v>
      </c>
      <c r="J702">
        <f t="shared" si="76"/>
        <v>1.7018114958151135E-3</v>
      </c>
      <c r="L702">
        <f t="shared" si="75"/>
        <v>1.7018114958151134E-5</v>
      </c>
    </row>
    <row r="703" spans="1:12" x14ac:dyDescent="0.2">
      <c r="A703" s="2"/>
      <c r="B703" s="2"/>
      <c r="C703" s="2">
        <v>1</v>
      </c>
      <c r="D703" s="7"/>
      <c r="E703">
        <f t="shared" si="71"/>
        <v>115.33333333333296</v>
      </c>
      <c r="F703">
        <f t="shared" si="77"/>
        <v>1.9222222222222161</v>
      </c>
      <c r="G703">
        <f t="shared" si="72"/>
        <v>1.1135683812061549E-3</v>
      </c>
      <c r="H703">
        <f t="shared" si="73"/>
        <v>0</v>
      </c>
      <c r="I703">
        <f t="shared" si="74"/>
        <v>67.352104787541023</v>
      </c>
      <c r="J703">
        <f t="shared" si="76"/>
        <v>1.6533534990760168E-3</v>
      </c>
      <c r="L703">
        <f t="shared" si="75"/>
        <v>1.6533534990760167E-5</v>
      </c>
    </row>
    <row r="704" spans="1:12" x14ac:dyDescent="0.2">
      <c r="A704" s="2"/>
      <c r="B704" s="2"/>
      <c r="C704" s="2">
        <v>1</v>
      </c>
      <c r="D704" s="7"/>
      <c r="E704">
        <f t="shared" si="71"/>
        <v>115.49999999999963</v>
      </c>
      <c r="F704">
        <f t="shared" si="77"/>
        <v>1.9249999999999938</v>
      </c>
      <c r="G704">
        <f t="shared" si="72"/>
        <v>1.0818602319088066E-3</v>
      </c>
      <c r="H704">
        <f t="shared" si="73"/>
        <v>0</v>
      </c>
      <c r="I704">
        <f t="shared" si="74"/>
        <v>67.352104787541023</v>
      </c>
      <c r="J704">
        <f t="shared" si="76"/>
        <v>1.6062753128821775E-3</v>
      </c>
      <c r="L704">
        <f t="shared" si="75"/>
        <v>1.6062753128821774E-5</v>
      </c>
    </row>
    <row r="705" spans="1:12" x14ac:dyDescent="0.2">
      <c r="A705" s="2"/>
      <c r="B705" s="2"/>
      <c r="C705" s="2">
        <v>1</v>
      </c>
      <c r="D705" s="7"/>
      <c r="E705">
        <f t="shared" si="71"/>
        <v>115.6666666666663</v>
      </c>
      <c r="F705">
        <f t="shared" si="77"/>
        <v>1.9277777777777716</v>
      </c>
      <c r="G705">
        <f t="shared" si="72"/>
        <v>1.0510549519357239E-3</v>
      </c>
      <c r="H705">
        <f t="shared" si="73"/>
        <v>0</v>
      </c>
      <c r="I705">
        <f t="shared" si="74"/>
        <v>67.352104787541023</v>
      </c>
      <c r="J705">
        <f t="shared" si="76"/>
        <v>1.5605376480085161E-3</v>
      </c>
      <c r="L705">
        <f t="shared" si="75"/>
        <v>1.5605376480085161E-5</v>
      </c>
    </row>
    <row r="706" spans="1:12" x14ac:dyDescent="0.2">
      <c r="A706" s="2"/>
      <c r="B706" s="2"/>
      <c r="C706" s="2">
        <v>1</v>
      </c>
      <c r="D706" s="7"/>
      <c r="E706">
        <f t="shared" si="71"/>
        <v>115.83333333333296</v>
      </c>
      <c r="F706">
        <f t="shared" si="77"/>
        <v>1.9305555555555494</v>
      </c>
      <c r="G706">
        <f t="shared" si="72"/>
        <v>1.0211268326588481E-3</v>
      </c>
      <c r="H706">
        <f t="shared" si="73"/>
        <v>0</v>
      </c>
      <c r="I706">
        <f t="shared" si="74"/>
        <v>67.352104787541023</v>
      </c>
      <c r="J706">
        <f t="shared" si="76"/>
        <v>1.5161023339655734E-3</v>
      </c>
      <c r="L706">
        <f t="shared" si="75"/>
        <v>1.5161023339655733E-5</v>
      </c>
    </row>
    <row r="707" spans="1:12" x14ac:dyDescent="0.2">
      <c r="A707" s="2"/>
      <c r="B707" s="2"/>
      <c r="C707" s="2">
        <v>1</v>
      </c>
      <c r="D707" s="7"/>
      <c r="E707">
        <f t="shared" si="71"/>
        <v>115.99999999999963</v>
      </c>
      <c r="F707">
        <f t="shared" si="77"/>
        <v>1.9333333333333271</v>
      </c>
      <c r="G707">
        <f t="shared" si="72"/>
        <v>9.9205089748690572E-4</v>
      </c>
      <c r="H707">
        <f t="shared" si="73"/>
        <v>0</v>
      </c>
      <c r="I707">
        <f t="shared" si="74"/>
        <v>67.352104787541023</v>
      </c>
      <c r="J707">
        <f t="shared" si="76"/>
        <v>1.4729322871442291E-3</v>
      </c>
      <c r="L707">
        <f t="shared" si="75"/>
        <v>1.472932287144229E-5</v>
      </c>
    </row>
    <row r="708" spans="1:12" x14ac:dyDescent="0.2">
      <c r="A708" s="2"/>
      <c r="B708" s="2"/>
      <c r="C708" s="2">
        <v>1</v>
      </c>
      <c r="D708" s="7"/>
      <c r="E708">
        <f t="shared" si="71"/>
        <v>116.16666666666629</v>
      </c>
      <c r="F708">
        <f t="shared" si="77"/>
        <v>1.9361111111111049</v>
      </c>
      <c r="G708">
        <f t="shared" si="72"/>
        <v>9.6380288102112599E-4</v>
      </c>
      <c r="H708">
        <f t="shared" si="73"/>
        <v>0</v>
      </c>
      <c r="I708">
        <f t="shared" si="74"/>
        <v>67.352104787541023</v>
      </c>
      <c r="J708">
        <f t="shared" si="76"/>
        <v>1.4309914798674753E-3</v>
      </c>
      <c r="L708">
        <f t="shared" si="75"/>
        <v>1.4309914798674754E-5</v>
      </c>
    </row>
    <row r="709" spans="1:12" x14ac:dyDescent="0.2">
      <c r="A709" s="2"/>
      <c r="B709" s="2"/>
      <c r="C709" s="2">
        <v>1</v>
      </c>
      <c r="D709" s="7"/>
      <c r="E709">
        <f t="shared" si="71"/>
        <v>116.33333333333296</v>
      </c>
      <c r="F709">
        <f t="shared" si="77"/>
        <v>1.9388888888888827</v>
      </c>
      <c r="G709">
        <f t="shared" si="72"/>
        <v>9.3635920880448943E-4</v>
      </c>
      <c r="H709">
        <f t="shared" si="73"/>
        <v>0</v>
      </c>
      <c r="I709">
        <f t="shared" si="74"/>
        <v>67.352104787541023</v>
      </c>
      <c r="J709">
        <f t="shared" si="76"/>
        <v>1.3902449103234257E-3</v>
      </c>
      <c r="L709">
        <f t="shared" si="75"/>
        <v>1.3902449103234256E-5</v>
      </c>
    </row>
    <row r="710" spans="1:12" x14ac:dyDescent="0.2">
      <c r="A710" s="2"/>
      <c r="B710" s="2"/>
      <c r="C710" s="2">
        <v>1</v>
      </c>
      <c r="D710" s="7"/>
      <c r="E710">
        <f t="shared" si="71"/>
        <v>116.49999999999963</v>
      </c>
      <c r="F710">
        <f t="shared" si="77"/>
        <v>1.9416666666666604</v>
      </c>
      <c r="G710">
        <f t="shared" si="72"/>
        <v>9.0969697764760186E-4</v>
      </c>
      <c r="H710">
        <f t="shared" si="73"/>
        <v>0</v>
      </c>
      <c r="I710">
        <f t="shared" si="74"/>
        <v>67.352104787541023</v>
      </c>
      <c r="J710">
        <f t="shared" si="76"/>
        <v>1.350658573354459E-3</v>
      </c>
      <c r="L710">
        <f t="shared" si="75"/>
        <v>1.3506585733544589E-5</v>
      </c>
    </row>
    <row r="711" spans="1:12" x14ac:dyDescent="0.2">
      <c r="A711" s="2"/>
      <c r="B711" s="2"/>
      <c r="C711" s="2">
        <v>1</v>
      </c>
      <c r="D711" s="7"/>
      <c r="E711">
        <f t="shared" si="71"/>
        <v>116.66666666666629</v>
      </c>
      <c r="F711">
        <f t="shared" si="77"/>
        <v>1.9444444444444382</v>
      </c>
      <c r="G711">
        <f t="shared" si="72"/>
        <v>8.8379393651477666E-4</v>
      </c>
      <c r="H711">
        <f t="shared" si="73"/>
        <v>0</v>
      </c>
      <c r="I711">
        <f t="shared" si="74"/>
        <v>67.352104787541023</v>
      </c>
      <c r="J711">
        <f t="shared" si="76"/>
        <v>1.3121994320781246E-3</v>
      </c>
      <c r="L711">
        <f t="shared" si="75"/>
        <v>1.3121994320781246E-5</v>
      </c>
    </row>
    <row r="712" spans="1:12" x14ac:dyDescent="0.2">
      <c r="A712" s="2"/>
      <c r="B712" s="2"/>
      <c r="C712" s="2">
        <v>1</v>
      </c>
      <c r="D712" s="7"/>
      <c r="E712">
        <f t="shared" si="71"/>
        <v>116.83333333333296</v>
      </c>
      <c r="F712">
        <f t="shared" si="77"/>
        <v>1.947222222222216</v>
      </c>
      <c r="G712">
        <f t="shared" si="72"/>
        <v>8.5862846795437431E-4</v>
      </c>
      <c r="H712">
        <f t="shared" si="73"/>
        <v>0</v>
      </c>
      <c r="I712">
        <f t="shared" si="74"/>
        <v>67.352104787541023</v>
      </c>
      <c r="J712">
        <f t="shared" si="76"/>
        <v>1.2748353903161253E-3</v>
      </c>
      <c r="L712">
        <f t="shared" si="75"/>
        <v>1.2748353903161253E-5</v>
      </c>
    </row>
    <row r="713" spans="1:12" x14ac:dyDescent="0.2">
      <c r="A713" s="2"/>
      <c r="B713" s="2"/>
      <c r="C713" s="2">
        <v>1</v>
      </c>
      <c r="D713" s="7"/>
      <c r="E713">
        <f t="shared" si="71"/>
        <v>116.99999999999963</v>
      </c>
      <c r="F713">
        <f t="shared" si="77"/>
        <v>1.9499999999999937</v>
      </c>
      <c r="G713">
        <f t="shared" si="72"/>
        <v>8.3417957005790073E-4</v>
      </c>
      <c r="H713">
        <f t="shared" si="73"/>
        <v>0</v>
      </c>
      <c r="I713">
        <f t="shared" si="74"/>
        <v>67.352104787541023</v>
      </c>
      <c r="J713">
        <f t="shared" si="76"/>
        <v>1.2385352658083664E-3</v>
      </c>
      <c r="L713">
        <f t="shared" si="75"/>
        <v>1.2385352658083665E-5</v>
      </c>
    </row>
    <row r="714" spans="1:12" x14ac:dyDescent="0.2">
      <c r="A714" s="2"/>
      <c r="B714" s="2"/>
      <c r="C714" s="2">
        <v>1</v>
      </c>
      <c r="D714" s="7"/>
      <c r="E714">
        <f t="shared" si="71"/>
        <v>117.16666666666629</v>
      </c>
      <c r="F714">
        <f t="shared" si="77"/>
        <v>1.9527777777777715</v>
      </c>
      <c r="G714">
        <f t="shared" si="72"/>
        <v>8.104268389328088E-4</v>
      </c>
      <c r="H714">
        <f t="shared" si="73"/>
        <v>0</v>
      </c>
      <c r="I714">
        <f t="shared" si="74"/>
        <v>67.352104787541023</v>
      </c>
      <c r="J714">
        <f t="shared" si="76"/>
        <v>1.203268764189718E-3</v>
      </c>
      <c r="L714">
        <f t="shared" si="75"/>
        <v>1.203268764189718E-5</v>
      </c>
    </row>
    <row r="715" spans="1:12" x14ac:dyDescent="0.2">
      <c r="A715" s="2"/>
      <c r="B715" s="2"/>
      <c r="C715" s="2">
        <v>1</v>
      </c>
      <c r="D715" s="7"/>
      <c r="E715">
        <f t="shared" si="71"/>
        <v>117.33333333333296</v>
      </c>
      <c r="F715">
        <f t="shared" si="77"/>
        <v>1.9555555555555493</v>
      </c>
      <c r="G715">
        <f t="shared" si="72"/>
        <v>7.8735045167437588E-4</v>
      </c>
      <c r="H715">
        <f t="shared" si="73"/>
        <v>0</v>
      </c>
      <c r="I715">
        <f t="shared" si="74"/>
        <v>67.352104787541023</v>
      </c>
      <c r="J715">
        <f t="shared" si="76"/>
        <v>1.1690064537077721E-3</v>
      </c>
      <c r="L715">
        <f t="shared" si="75"/>
        <v>1.169006453707772E-5</v>
      </c>
    </row>
    <row r="716" spans="1:12" x14ac:dyDescent="0.2">
      <c r="A716" s="2"/>
      <c r="B716" s="2"/>
      <c r="C716" s="2">
        <v>1</v>
      </c>
      <c r="D716" s="7"/>
      <c r="E716">
        <f t="shared" ref="E716:E767" si="78">F716*60</f>
        <v>117.49999999999962</v>
      </c>
      <c r="F716">
        <f t="shared" si="77"/>
        <v>1.958333333333327</v>
      </c>
      <c r="G716">
        <f t="shared" ref="G716:G767" si="79">Tsamp*$D716*G$3/G$5+G$8*G715</f>
        <v>7.6493114982244595E-4</v>
      </c>
      <c r="H716">
        <f t="shared" ref="H716:H767" si="80">$D716*$G$3/$G$6</f>
        <v>0</v>
      </c>
      <c r="I716">
        <f t="shared" ref="I716:I767" si="81">Tsamp*32*$G$3/($G$5*(1-$G$8))</f>
        <v>67.352104787541023</v>
      </c>
      <c r="J716">
        <f t="shared" si="76"/>
        <v>1.1357197406604953E-3</v>
      </c>
      <c r="L716">
        <f t="shared" ref="L716:L767" si="82">$J716/100</f>
        <v>1.1357197406604953E-5</v>
      </c>
    </row>
    <row r="717" spans="1:12" x14ac:dyDescent="0.2">
      <c r="A717" s="2"/>
      <c r="B717" s="2"/>
      <c r="C717" s="2">
        <v>1</v>
      </c>
      <c r="D717" s="7"/>
      <c r="E717">
        <f t="shared" si="78"/>
        <v>117.66666666666629</v>
      </c>
      <c r="F717">
        <f t="shared" si="77"/>
        <v>1.9611111111111048</v>
      </c>
      <c r="G717">
        <f t="shared" si="79"/>
        <v>7.43150223289231E-4</v>
      </c>
      <c r="H717">
        <f t="shared" si="80"/>
        <v>0</v>
      </c>
      <c r="I717">
        <f t="shared" si="81"/>
        <v>67.352104787541023</v>
      </c>
      <c r="J717">
        <f t="shared" ref="J717:J767" si="83">$G717/$I717*100</f>
        <v>1.1033808455332801E-3</v>
      </c>
      <c r="L717">
        <f t="shared" si="82"/>
        <v>1.1033808455332801E-5</v>
      </c>
    </row>
    <row r="718" spans="1:12" x14ac:dyDescent="0.2">
      <c r="A718" s="2"/>
      <c r="B718" s="2"/>
      <c r="C718" s="2">
        <v>1</v>
      </c>
      <c r="D718" s="7"/>
      <c r="E718">
        <f t="shared" si="78"/>
        <v>117.83333333333296</v>
      </c>
      <c r="F718">
        <f t="shared" si="77"/>
        <v>1.9638888888888826</v>
      </c>
      <c r="G718">
        <f t="shared" si="79"/>
        <v>7.2198949474475713E-4</v>
      </c>
      <c r="H718">
        <f t="shared" si="80"/>
        <v>0</v>
      </c>
      <c r="I718">
        <f t="shared" si="81"/>
        <v>67.352104787541023</v>
      </c>
      <c r="J718">
        <f t="shared" si="83"/>
        <v>1.0719627798154762E-3</v>
      </c>
      <c r="L718">
        <f t="shared" si="82"/>
        <v>1.0719627798154762E-5</v>
      </c>
    </row>
    <row r="719" spans="1:12" x14ac:dyDescent="0.2">
      <c r="A719" s="2"/>
      <c r="B719" s="2"/>
      <c r="C719" s="2">
        <v>1</v>
      </c>
      <c r="D719" s="7"/>
      <c r="E719">
        <f t="shared" si="78"/>
        <v>117.99999999999962</v>
      </c>
      <c r="F719">
        <f t="shared" si="77"/>
        <v>1.9666666666666603</v>
      </c>
      <c r="G719">
        <f t="shared" si="79"/>
        <v>7.0143130444692608E-4</v>
      </c>
      <c r="H719">
        <f t="shared" si="80"/>
        <v>0</v>
      </c>
      <c r="I719">
        <f t="shared" si="81"/>
        <v>67.352104787541023</v>
      </c>
      <c r="J719">
        <f t="shared" si="83"/>
        <v>1.0414393234770573E-3</v>
      </c>
      <c r="L719">
        <f t="shared" si="82"/>
        <v>1.0414393234770573E-5</v>
      </c>
    </row>
    <row r="720" spans="1:12" x14ac:dyDescent="0.2">
      <c r="A720" s="2"/>
      <c r="B720" s="2"/>
      <c r="C720" s="2">
        <v>1</v>
      </c>
      <c r="D720" s="7"/>
      <c r="E720">
        <f t="shared" si="78"/>
        <v>118.16666666666629</v>
      </c>
      <c r="F720">
        <f t="shared" si="77"/>
        <v>1.9694444444444381</v>
      </c>
      <c r="G720">
        <f t="shared" si="79"/>
        <v>6.8145849550353048E-4</v>
      </c>
      <c r="H720">
        <f t="shared" si="80"/>
        <v>0</v>
      </c>
      <c r="I720">
        <f t="shared" si="81"/>
        <v>67.352104787541023</v>
      </c>
      <c r="J720">
        <f t="shared" si="83"/>
        <v>1.0117850030866274E-3</v>
      </c>
      <c r="L720">
        <f t="shared" si="82"/>
        <v>1.0117850030866274E-5</v>
      </c>
    </row>
    <row r="721" spans="1:12" x14ac:dyDescent="0.2">
      <c r="A721" s="2"/>
      <c r="B721" s="2"/>
      <c r="C721" s="2">
        <v>1</v>
      </c>
      <c r="D721" s="7"/>
      <c r="E721">
        <f t="shared" si="78"/>
        <v>118.33333333333296</v>
      </c>
      <c r="F721">
        <f t="shared" si="77"/>
        <v>1.9722222222222159</v>
      </c>
      <c r="G721">
        <f t="shared" si="79"/>
        <v>6.6205439955392394E-4</v>
      </c>
      <c r="H721">
        <f t="shared" si="80"/>
        <v>0</v>
      </c>
      <c r="I721">
        <f t="shared" si="81"/>
        <v>67.352104787541023</v>
      </c>
      <c r="J721">
        <f t="shared" si="83"/>
        <v>9.8297507055249817E-4</v>
      </c>
      <c r="L721">
        <f t="shared" si="82"/>
        <v>9.8297507055249822E-6</v>
      </c>
    </row>
    <row r="722" spans="1:12" x14ac:dyDescent="0.2">
      <c r="A722" s="2"/>
      <c r="B722" s="2"/>
      <c r="C722" s="2">
        <v>1</v>
      </c>
      <c r="D722" s="7"/>
      <c r="E722">
        <f t="shared" si="78"/>
        <v>118.49999999999962</v>
      </c>
      <c r="F722">
        <f t="shared" si="77"/>
        <v>1.9749999999999936</v>
      </c>
      <c r="G722">
        <f t="shared" si="79"/>
        <v>6.432028228583966E-4</v>
      </c>
      <c r="H722">
        <f t="shared" si="80"/>
        <v>0</v>
      </c>
      <c r="I722">
        <f t="shared" si="81"/>
        <v>67.352104787541023</v>
      </c>
      <c r="J722">
        <f t="shared" si="83"/>
        <v>9.5498548246910611E-4</v>
      </c>
      <c r="L722">
        <f t="shared" si="82"/>
        <v>9.5498548246910614E-6</v>
      </c>
    </row>
    <row r="723" spans="1:12" x14ac:dyDescent="0.2">
      <c r="A723" s="2"/>
      <c r="B723" s="2"/>
      <c r="C723" s="2">
        <v>1</v>
      </c>
      <c r="D723" s="7"/>
      <c r="E723">
        <f t="shared" si="78"/>
        <v>118.66666666666629</v>
      </c>
      <c r="F723">
        <f t="shared" si="77"/>
        <v>1.9777777777777714</v>
      </c>
      <c r="G723">
        <f t="shared" si="79"/>
        <v>6.2488803278364666E-4</v>
      </c>
      <c r="H723">
        <f t="shared" si="80"/>
        <v>0</v>
      </c>
      <c r="I723">
        <f t="shared" si="81"/>
        <v>67.352104787541023</v>
      </c>
      <c r="J723">
        <f t="shared" si="83"/>
        <v>9.2779288005152307E-4</v>
      </c>
      <c r="L723">
        <f t="shared" si="82"/>
        <v>9.2779288005152307E-6</v>
      </c>
    </row>
    <row r="724" spans="1:12" x14ac:dyDescent="0.2">
      <c r="A724" s="2"/>
      <c r="B724" s="2"/>
      <c r="C724" s="2">
        <v>1</v>
      </c>
      <c r="D724" s="7"/>
      <c r="E724">
        <f t="shared" si="78"/>
        <v>118.83333333333294</v>
      </c>
      <c r="F724">
        <f t="shared" si="77"/>
        <v>1.9805555555555492</v>
      </c>
      <c r="G724">
        <f t="shared" si="79"/>
        <v>6.0709474467306949E-4</v>
      </c>
      <c r="H724">
        <f t="shared" si="80"/>
        <v>0</v>
      </c>
      <c r="I724">
        <f t="shared" si="81"/>
        <v>67.352104787541023</v>
      </c>
      <c r="J724">
        <f t="shared" si="83"/>
        <v>9.0137456964132113E-4</v>
      </c>
      <c r="L724">
        <f t="shared" si="82"/>
        <v>9.013745696413211E-6</v>
      </c>
    </row>
    <row r="725" spans="1:12" x14ac:dyDescent="0.2">
      <c r="A725" s="2"/>
      <c r="B725" s="2"/>
      <c r="C725" s="2">
        <v>1</v>
      </c>
      <c r="D725" s="7"/>
      <c r="E725">
        <f t="shared" si="78"/>
        <v>118.99999999999962</v>
      </c>
      <c r="F725">
        <f t="shared" si="77"/>
        <v>1.983333333333327</v>
      </c>
      <c r="G725">
        <f t="shared" si="79"/>
        <v>5.8980810909090714E-4</v>
      </c>
      <c r="H725">
        <f t="shared" si="80"/>
        <v>0</v>
      </c>
      <c r="I725">
        <f t="shared" si="81"/>
        <v>67.352104787541023</v>
      </c>
      <c r="J725">
        <f t="shared" si="83"/>
        <v>8.7570850376751923E-4</v>
      </c>
      <c r="L725">
        <f t="shared" si="82"/>
        <v>8.7570850376751922E-6</v>
      </c>
    </row>
    <row r="726" spans="1:12" x14ac:dyDescent="0.2">
      <c r="A726" s="2"/>
      <c r="B726" s="2"/>
      <c r="C726" s="2">
        <v>1</v>
      </c>
      <c r="D726" s="7"/>
      <c r="E726">
        <f t="shared" si="78"/>
        <v>119.16666666666629</v>
      </c>
      <c r="F726">
        <f t="shared" si="77"/>
        <v>1.9861111111111047</v>
      </c>
      <c r="G726">
        <f t="shared" si="79"/>
        <v>5.7301369942961225E-4</v>
      </c>
      <c r="H726">
        <f t="shared" si="80"/>
        <v>0</v>
      </c>
      <c r="I726">
        <f t="shared" si="81"/>
        <v>67.352104787541023</v>
      </c>
      <c r="J726">
        <f t="shared" si="83"/>
        <v>8.5077326274680867E-4</v>
      </c>
      <c r="L726">
        <f t="shared" si="82"/>
        <v>8.5077326274680863E-6</v>
      </c>
    </row>
    <row r="727" spans="1:12" x14ac:dyDescent="0.2">
      <c r="A727" s="2"/>
      <c r="B727" s="2"/>
      <c r="C727" s="2">
        <v>1</v>
      </c>
      <c r="D727" s="7"/>
      <c r="E727">
        <f t="shared" si="78"/>
        <v>119.33333333333294</v>
      </c>
      <c r="F727">
        <f t="shared" si="77"/>
        <v>1.9888888888888825</v>
      </c>
      <c r="G727">
        <f t="shared" si="79"/>
        <v>5.5669749987008444E-4</v>
      </c>
      <c r="H727">
        <f t="shared" si="80"/>
        <v>0</v>
      </c>
      <c r="I727">
        <f t="shared" si="81"/>
        <v>67.352104787541023</v>
      </c>
      <c r="J727">
        <f t="shared" si="83"/>
        <v>8.2654803680769879E-4</v>
      </c>
      <c r="L727">
        <f t="shared" si="82"/>
        <v>8.2654803680769875E-6</v>
      </c>
    </row>
    <row r="728" spans="1:12" x14ac:dyDescent="0.2">
      <c r="A728" s="2"/>
      <c r="B728" s="2"/>
      <c r="C728" s="2">
        <v>1</v>
      </c>
      <c r="D728" s="7"/>
      <c r="E728">
        <f t="shared" si="78"/>
        <v>119.49999999999962</v>
      </c>
      <c r="F728">
        <f t="shared" si="77"/>
        <v>1.9916666666666603</v>
      </c>
      <c r="G728">
        <f t="shared" si="79"/>
        <v>5.4084589368473134E-4</v>
      </c>
      <c r="H728">
        <f t="shared" si="80"/>
        <v>0</v>
      </c>
      <c r="I728">
        <f t="shared" si="81"/>
        <v>67.352104787541023</v>
      </c>
      <c r="J728">
        <f t="shared" si="83"/>
        <v>8.0301260872366748E-4</v>
      </c>
      <c r="L728">
        <f t="shared" si="82"/>
        <v>8.0301260872366744E-6</v>
      </c>
    </row>
    <row r="729" spans="1:12" x14ac:dyDescent="0.2">
      <c r="A729" s="2"/>
      <c r="B729" s="2"/>
      <c r="C729" s="2">
        <v>1</v>
      </c>
      <c r="D729" s="7"/>
      <c r="E729">
        <f t="shared" si="78"/>
        <v>119.66666666666629</v>
      </c>
      <c r="F729">
        <f t="shared" si="77"/>
        <v>1.994444444444438</v>
      </c>
      <c r="G729">
        <f t="shared" si="79"/>
        <v>5.2544565187359247E-4</v>
      </c>
      <c r="H729">
        <f t="shared" si="80"/>
        <v>0</v>
      </c>
      <c r="I729">
        <f t="shared" si="81"/>
        <v>67.352104787541023</v>
      </c>
      <c r="J729">
        <f t="shared" si="83"/>
        <v>7.8014733694082097E-4</v>
      </c>
      <c r="L729">
        <f t="shared" si="82"/>
        <v>7.8014733694082098E-6</v>
      </c>
    </row>
    <row r="730" spans="1:12" x14ac:dyDescent="0.2">
      <c r="A730" s="2"/>
      <c r="B730" s="2"/>
      <c r="C730" s="2">
        <v>1</v>
      </c>
      <c r="D730" s="7"/>
      <c r="E730">
        <f t="shared" si="78"/>
        <v>119.83333333333294</v>
      </c>
      <c r="F730">
        <f t="shared" si="77"/>
        <v>1.9972222222222158</v>
      </c>
      <c r="G730">
        <f t="shared" si="79"/>
        <v>5.1048392212404243E-4</v>
      </c>
      <c r="H730">
        <f t="shared" si="80"/>
        <v>0</v>
      </c>
      <c r="I730">
        <f t="shared" si="81"/>
        <v>67.352104787541023</v>
      </c>
      <c r="J730">
        <f t="shared" si="83"/>
        <v>7.5793313918598307E-4</v>
      </c>
      <c r="L730">
        <f t="shared" si="82"/>
        <v>7.5793313918598304E-6</v>
      </c>
    </row>
    <row r="731" spans="1:12" x14ac:dyDescent="0.2">
      <c r="A731" s="2"/>
      <c r="B731" s="2"/>
      <c r="C731" s="2">
        <v>0.5</v>
      </c>
      <c r="D731" s="7"/>
      <c r="E731">
        <f t="shared" si="78"/>
        <v>119.99999999999962</v>
      </c>
      <c r="F731">
        <f t="shared" si="77"/>
        <v>1.9999999999999936</v>
      </c>
      <c r="G731">
        <f t="shared" si="79"/>
        <v>4.9594821808485916E-4</v>
      </c>
      <c r="H731">
        <f t="shared" si="80"/>
        <v>0</v>
      </c>
      <c r="I731">
        <f t="shared" si="81"/>
        <v>67.352104787541023</v>
      </c>
      <c r="J731">
        <f t="shared" si="83"/>
        <v>7.3635147654153345E-4</v>
      </c>
      <c r="L731">
        <f t="shared" si="82"/>
        <v>7.3635147654153341E-6</v>
      </c>
    </row>
    <row r="732" spans="1:12" x14ac:dyDescent="0.2">
      <c r="A732" s="2"/>
      <c r="B732" s="2"/>
      <c r="C732" s="2">
        <v>0.5</v>
      </c>
      <c r="D732" s="7"/>
      <c r="E732">
        <f t="shared" si="78"/>
        <v>120.16666666666629</v>
      </c>
      <c r="F732">
        <f t="shared" si="77"/>
        <v>2.0027777777777716</v>
      </c>
      <c r="G732">
        <f t="shared" si="79"/>
        <v>4.8182640894570649E-4</v>
      </c>
      <c r="H732">
        <f t="shared" si="80"/>
        <v>0</v>
      </c>
      <c r="I732">
        <f t="shared" si="81"/>
        <v>67.352104787541023</v>
      </c>
      <c r="J732">
        <f t="shared" si="83"/>
        <v>7.1538433797370513E-4</v>
      </c>
      <c r="L732">
        <f t="shared" si="82"/>
        <v>7.1538433797370516E-6</v>
      </c>
    </row>
    <row r="733" spans="1:12" x14ac:dyDescent="0.2">
      <c r="A733" s="2"/>
      <c r="B733" s="2"/>
      <c r="C733" s="2">
        <v>0.5</v>
      </c>
      <c r="D733" s="7"/>
      <c r="E733">
        <f t="shared" si="78"/>
        <v>120.33333333333296</v>
      </c>
      <c r="F733">
        <f t="shared" si="77"/>
        <v>2.0055555555555493</v>
      </c>
      <c r="G733">
        <f t="shared" si="79"/>
        <v>4.6810670931333407E-4</v>
      </c>
      <c r="H733">
        <f t="shared" si="80"/>
        <v>0</v>
      </c>
      <c r="I733">
        <f t="shared" si="81"/>
        <v>67.352104787541023</v>
      </c>
      <c r="J733">
        <f t="shared" si="83"/>
        <v>6.9501422530142767E-4</v>
      </c>
      <c r="L733">
        <f t="shared" si="82"/>
        <v>6.9501422530142763E-6</v>
      </c>
    </row>
    <row r="734" spans="1:12" x14ac:dyDescent="0.2">
      <c r="A734" s="2"/>
      <c r="B734" s="2"/>
      <c r="C734" s="2">
        <v>0.5</v>
      </c>
      <c r="D734" s="7"/>
      <c r="E734">
        <f t="shared" si="78"/>
        <v>120.49999999999963</v>
      </c>
      <c r="F734">
        <f t="shared" si="77"/>
        <v>2.0083333333333271</v>
      </c>
      <c r="G734">
        <f t="shared" si="79"/>
        <v>4.5477766937604641E-4</v>
      </c>
      <c r="H734">
        <f t="shared" si="80"/>
        <v>0</v>
      </c>
      <c r="I734">
        <f t="shared" si="81"/>
        <v>67.352104787541023</v>
      </c>
      <c r="J734">
        <f t="shared" si="83"/>
        <v>6.7522413859317501E-4</v>
      </c>
      <c r="L734">
        <f t="shared" si="82"/>
        <v>6.7522413859317498E-6</v>
      </c>
    </row>
    <row r="735" spans="1:12" x14ac:dyDescent="0.2">
      <c r="A735" s="2"/>
      <c r="B735" s="2"/>
      <c r="C735" s="2">
        <v>0.5</v>
      </c>
      <c r="D735" s="7"/>
      <c r="E735">
        <f t="shared" si="78"/>
        <v>120.66666666666629</v>
      </c>
      <c r="F735">
        <f t="shared" si="77"/>
        <v>2.0111111111111049</v>
      </c>
      <c r="G735">
        <f t="shared" si="79"/>
        <v>4.4182816534823208E-4</v>
      </c>
      <c r="H735">
        <f t="shared" si="80"/>
        <v>0</v>
      </c>
      <c r="I735">
        <f t="shared" si="81"/>
        <v>67.352104787541023</v>
      </c>
      <c r="J735">
        <f t="shared" si="83"/>
        <v>6.5599756197962599E-4</v>
      </c>
      <c r="L735">
        <f t="shared" si="82"/>
        <v>6.5599756197962597E-6</v>
      </c>
    </row>
    <row r="736" spans="1:12" x14ac:dyDescent="0.2">
      <c r="A736" s="2"/>
      <c r="B736" s="2"/>
      <c r="C736" s="2">
        <v>0.5</v>
      </c>
      <c r="D736" s="7"/>
      <c r="E736">
        <f t="shared" si="78"/>
        <v>120.83333333333296</v>
      </c>
      <c r="F736">
        <f t="shared" si="77"/>
        <v>2.0138888888888826</v>
      </c>
      <c r="G736">
        <f t="shared" si="79"/>
        <v>4.2924739018697898E-4</v>
      </c>
      <c r="H736">
        <f t="shared" si="80"/>
        <v>0</v>
      </c>
      <c r="I736">
        <f t="shared" si="81"/>
        <v>67.352104787541023</v>
      </c>
      <c r="J736">
        <f t="shared" si="83"/>
        <v>6.3731844987030366E-4</v>
      </c>
      <c r="L736">
        <f t="shared" si="82"/>
        <v>6.3731844987030362E-6</v>
      </c>
    </row>
    <row r="737" spans="1:12" x14ac:dyDescent="0.2">
      <c r="A737" s="2"/>
      <c r="B737" s="2"/>
      <c r="C737" s="2">
        <v>0.5</v>
      </c>
      <c r="D737" s="7"/>
      <c r="E737">
        <f t="shared" si="78"/>
        <v>120.99999999999963</v>
      </c>
      <c r="F737">
        <f t="shared" si="77"/>
        <v>2.0166666666666604</v>
      </c>
      <c r="G737">
        <f t="shared" si="79"/>
        <v>4.1702484457302794E-4</v>
      </c>
      <c r="H737">
        <f t="shared" si="80"/>
        <v>0</v>
      </c>
      <c r="I737">
        <f t="shared" si="81"/>
        <v>67.352104787541023</v>
      </c>
      <c r="J737">
        <f t="shared" si="83"/>
        <v>6.1917121356268345E-4</v>
      </c>
      <c r="L737">
        <f t="shared" si="82"/>
        <v>6.191712135626834E-6</v>
      </c>
    </row>
    <row r="738" spans="1:12" x14ac:dyDescent="0.2">
      <c r="A738" s="2"/>
      <c r="B738" s="2"/>
      <c r="C738" s="2">
        <v>0.5</v>
      </c>
      <c r="D738" s="7"/>
      <c r="E738">
        <f t="shared" si="78"/>
        <v>121.16666666666629</v>
      </c>
      <c r="F738">
        <f t="shared" si="77"/>
        <v>2.0194444444444382</v>
      </c>
      <c r="G738">
        <f t="shared" si="79"/>
        <v>4.0515032814853814E-4</v>
      </c>
      <c r="H738">
        <f t="shared" si="80"/>
        <v>0</v>
      </c>
      <c r="I738">
        <f t="shared" si="81"/>
        <v>67.352104787541023</v>
      </c>
      <c r="J738">
        <f t="shared" si="83"/>
        <v>6.0154070823260149E-4</v>
      </c>
      <c r="L738">
        <f t="shared" si="82"/>
        <v>6.0154070823260146E-6</v>
      </c>
    </row>
    <row r="739" spans="1:12" x14ac:dyDescent="0.2">
      <c r="A739" s="2"/>
      <c r="B739" s="2"/>
      <c r="C739" s="2">
        <v>0.5</v>
      </c>
      <c r="D739" s="7"/>
      <c r="E739">
        <f t="shared" si="78"/>
        <v>121.33333333333296</v>
      </c>
      <c r="F739">
        <f t="shared" si="77"/>
        <v>2.0222222222222159</v>
      </c>
      <c r="G739">
        <f t="shared" si="79"/>
        <v>3.9361393100435126E-4</v>
      </c>
      <c r="H739">
        <f t="shared" si="80"/>
        <v>0</v>
      </c>
      <c r="I739">
        <f t="shared" si="81"/>
        <v>67.352104787541023</v>
      </c>
      <c r="J739">
        <f t="shared" si="83"/>
        <v>5.8441222029510071E-4</v>
      </c>
      <c r="L739">
        <f t="shared" si="82"/>
        <v>5.8441222029510075E-6</v>
      </c>
    </row>
    <row r="740" spans="1:12" x14ac:dyDescent="0.2">
      <c r="A740" s="2"/>
      <c r="B740" s="2"/>
      <c r="C740" s="2">
        <v>0.5</v>
      </c>
      <c r="D740" s="7"/>
      <c r="E740">
        <f t="shared" si="78"/>
        <v>121.49999999999962</v>
      </c>
      <c r="F740">
        <f t="shared" si="77"/>
        <v>2.0249999999999937</v>
      </c>
      <c r="G740">
        <f t="shared" si="79"/>
        <v>3.8240602540965069E-4</v>
      </c>
      <c r="H740">
        <f t="shared" si="80"/>
        <v>0</v>
      </c>
      <c r="I740">
        <f t="shared" si="81"/>
        <v>67.352104787541023</v>
      </c>
      <c r="J740">
        <f t="shared" si="83"/>
        <v>5.6777145512516955E-4</v>
      </c>
      <c r="L740">
        <f t="shared" si="82"/>
        <v>5.6777145512516957E-6</v>
      </c>
    </row>
    <row r="741" spans="1:12" x14ac:dyDescent="0.2">
      <c r="A741" s="2"/>
      <c r="B741" s="2"/>
      <c r="C741" s="2">
        <v>0.5</v>
      </c>
      <c r="D741" s="7"/>
      <c r="E741">
        <f t="shared" si="78"/>
        <v>121.66666666666629</v>
      </c>
      <c r="F741">
        <f t="shared" si="77"/>
        <v>2.0277777777777715</v>
      </c>
      <c r="G741">
        <f t="shared" si="79"/>
        <v>3.7151725777711316E-4</v>
      </c>
      <c r="H741">
        <f t="shared" si="80"/>
        <v>0</v>
      </c>
      <c r="I741">
        <f t="shared" si="81"/>
        <v>67.352104787541023</v>
      </c>
      <c r="J741">
        <f t="shared" si="83"/>
        <v>5.5160452512812547E-4</v>
      </c>
      <c r="L741">
        <f t="shared" si="82"/>
        <v>5.5160452512812549E-6</v>
      </c>
    </row>
    <row r="742" spans="1:12" x14ac:dyDescent="0.2">
      <c r="A742" s="2"/>
      <c r="B742" s="2"/>
      <c r="C742" s="2">
        <v>0.5</v>
      </c>
      <c r="D742" s="7"/>
      <c r="E742">
        <f t="shared" si="78"/>
        <v>121.83333333333296</v>
      </c>
      <c r="F742">
        <f t="shared" si="77"/>
        <v>2.0305555555555492</v>
      </c>
      <c r="G742">
        <f t="shared" si="79"/>
        <v>3.6093854085684774E-4</v>
      </c>
      <c r="H742">
        <f t="shared" si="80"/>
        <v>0</v>
      </c>
      <c r="I742">
        <f t="shared" si="81"/>
        <v>67.352104787541023</v>
      </c>
      <c r="J742">
        <f t="shared" si="83"/>
        <v>5.3589793814968524E-4</v>
      </c>
      <c r="L742">
        <f t="shared" si="82"/>
        <v>5.3589793814968521E-6</v>
      </c>
    </row>
    <row r="743" spans="1:12" x14ac:dyDescent="0.2">
      <c r="A743" s="2"/>
      <c r="B743" s="2"/>
      <c r="C743" s="2">
        <v>0.5</v>
      </c>
      <c r="D743" s="7"/>
      <c r="E743">
        <f t="shared" si="78"/>
        <v>121.99999999999962</v>
      </c>
      <c r="F743">
        <f t="shared" si="77"/>
        <v>2.033333333333327</v>
      </c>
      <c r="G743">
        <f t="shared" si="79"/>
        <v>3.5066104615260723E-4</v>
      </c>
      <c r="H743">
        <f t="shared" si="80"/>
        <v>0</v>
      </c>
      <c r="I743">
        <f t="shared" si="81"/>
        <v>67.352104787541023</v>
      </c>
      <c r="J743">
        <f t="shared" si="83"/>
        <v>5.2063858621605164E-4</v>
      </c>
      <c r="L743">
        <f t="shared" si="82"/>
        <v>5.2063858621605165E-6</v>
      </c>
    </row>
    <row r="744" spans="1:12" x14ac:dyDescent="0.2">
      <c r="A744" s="2"/>
      <c r="B744" s="2"/>
      <c r="C744" s="2">
        <v>0.5</v>
      </c>
      <c r="D744" s="7"/>
      <c r="E744">
        <f t="shared" si="78"/>
        <v>122.16666666666629</v>
      </c>
      <c r="F744">
        <f t="shared" si="77"/>
        <v>2.0361111111111048</v>
      </c>
      <c r="G744">
        <f t="shared" si="79"/>
        <v>3.4067619655394325E-4</v>
      </c>
      <c r="H744">
        <f t="shared" si="80"/>
        <v>0</v>
      </c>
      <c r="I744">
        <f t="shared" si="81"/>
        <v>67.352104787541023</v>
      </c>
      <c r="J744">
        <f t="shared" si="83"/>
        <v>5.0581373459462019E-4</v>
      </c>
      <c r="L744">
        <f t="shared" si="82"/>
        <v>5.058137345946202E-6</v>
      </c>
    </row>
    <row r="745" spans="1:12" x14ac:dyDescent="0.2">
      <c r="A745" s="2"/>
      <c r="B745" s="2"/>
      <c r="C745" s="2">
        <v>0.5</v>
      </c>
      <c r="D745" s="7"/>
      <c r="E745">
        <f t="shared" si="78"/>
        <v>122.33333333333294</v>
      </c>
      <c r="F745">
        <f t="shared" si="77"/>
        <v>2.0388888888888825</v>
      </c>
      <c r="G745">
        <f t="shared" si="79"/>
        <v>3.3097565917815602E-4</v>
      </c>
      <c r="H745">
        <f t="shared" si="80"/>
        <v>0</v>
      </c>
      <c r="I745">
        <f t="shared" si="81"/>
        <v>67.352104787541023</v>
      </c>
      <c r="J745">
        <f t="shared" si="83"/>
        <v>4.9141101116617343E-4</v>
      </c>
      <c r="L745">
        <f t="shared" si="82"/>
        <v>4.9141101116617344E-6</v>
      </c>
    </row>
    <row r="746" spans="1:12" x14ac:dyDescent="0.2">
      <c r="A746" s="2"/>
      <c r="B746" s="2"/>
      <c r="C746" s="2">
        <v>0.5</v>
      </c>
      <c r="D746" s="7"/>
      <c r="E746">
        <f t="shared" si="78"/>
        <v>122.49999999999962</v>
      </c>
      <c r="F746">
        <f t="shared" si="77"/>
        <v>2.0416666666666603</v>
      </c>
      <c r="G746">
        <f t="shared" si="79"/>
        <v>3.2155133841606503E-4</v>
      </c>
      <c r="H746">
        <f t="shared" si="80"/>
        <v>0</v>
      </c>
      <c r="I746">
        <f t="shared" si="81"/>
        <v>67.352104787541023</v>
      </c>
      <c r="J746">
        <f t="shared" si="83"/>
        <v>4.7741839609969614E-4</v>
      </c>
      <c r="L746">
        <f t="shared" si="82"/>
        <v>4.7741839609969614E-6</v>
      </c>
    </row>
    <row r="747" spans="1:12" x14ac:dyDescent="0.2">
      <c r="A747" s="2"/>
      <c r="B747" s="2"/>
      <c r="C747" s="2">
        <v>0.5</v>
      </c>
      <c r="D747" s="7"/>
      <c r="E747">
        <f t="shared" si="78"/>
        <v>122.66666666666629</v>
      </c>
      <c r="F747">
        <f t="shared" si="77"/>
        <v>2.0444444444444381</v>
      </c>
      <c r="G747">
        <f t="shared" si="79"/>
        <v>3.123953691757969E-4</v>
      </c>
      <c r="H747">
        <f t="shared" si="80"/>
        <v>0</v>
      </c>
      <c r="I747">
        <f t="shared" si="81"/>
        <v>67.352104787541023</v>
      </c>
      <c r="J747">
        <f t="shared" si="83"/>
        <v>4.638242118211941E-4</v>
      </c>
      <c r="L747">
        <f t="shared" si="82"/>
        <v>4.6382421182119408E-6</v>
      </c>
    </row>
    <row r="748" spans="1:12" x14ac:dyDescent="0.2">
      <c r="A748" s="2"/>
      <c r="B748" s="2"/>
      <c r="C748" s="2">
        <v>0.5</v>
      </c>
      <c r="D748" s="7"/>
      <c r="E748">
        <f t="shared" si="78"/>
        <v>122.83333333333294</v>
      </c>
      <c r="F748">
        <f t="shared" si="77"/>
        <v>2.0472222222222158</v>
      </c>
      <c r="G748">
        <f t="shared" si="79"/>
        <v>3.0350011031895206E-4</v>
      </c>
      <c r="H748">
        <f t="shared" si="80"/>
        <v>0</v>
      </c>
      <c r="I748">
        <f t="shared" si="81"/>
        <v>67.352104787541023</v>
      </c>
      <c r="J748">
        <f t="shared" si="83"/>
        <v>4.5061711326814296E-4</v>
      </c>
      <c r="L748">
        <f t="shared" si="82"/>
        <v>4.5061711326814296E-6</v>
      </c>
    </row>
    <row r="749" spans="1:12" x14ac:dyDescent="0.2">
      <c r="A749" s="2"/>
      <c r="B749" s="2"/>
      <c r="C749" s="2">
        <v>0.5</v>
      </c>
      <c r="D749" s="7"/>
      <c r="E749">
        <f t="shared" si="78"/>
        <v>122.99999999999962</v>
      </c>
      <c r="F749">
        <f t="shared" si="77"/>
        <v>2.0499999999999936</v>
      </c>
      <c r="G749">
        <f t="shared" si="79"/>
        <v>2.948581382836726E-4</v>
      </c>
      <c r="H749">
        <f t="shared" si="80"/>
        <v>0</v>
      </c>
      <c r="I749">
        <f t="shared" si="81"/>
        <v>67.352104787541023</v>
      </c>
      <c r="J749">
        <f t="shared" si="83"/>
        <v>4.3778607842143673E-4</v>
      </c>
      <c r="L749">
        <f t="shared" si="82"/>
        <v>4.3778607842143672E-6</v>
      </c>
    </row>
    <row r="750" spans="1:12" x14ac:dyDescent="0.2">
      <c r="A750" s="2"/>
      <c r="B750" s="2"/>
      <c r="C750" s="2">
        <v>0.5</v>
      </c>
      <c r="D750" s="7"/>
      <c r="E750">
        <f t="shared" si="78"/>
        <v>123.16666666666629</v>
      </c>
      <c r="F750">
        <f t="shared" si="77"/>
        <v>2.0527777777777714</v>
      </c>
      <c r="G750">
        <f t="shared" si="79"/>
        <v>2.864622408892889E-4</v>
      </c>
      <c r="H750">
        <f t="shared" si="80"/>
        <v>0</v>
      </c>
      <c r="I750">
        <f t="shared" si="81"/>
        <v>67.352104787541023</v>
      </c>
      <c r="J750">
        <f t="shared" si="83"/>
        <v>4.2532039910693253E-4</v>
      </c>
      <c r="L750">
        <f t="shared" si="82"/>
        <v>4.2532039910693254E-6</v>
      </c>
    </row>
    <row r="751" spans="1:12" x14ac:dyDescent="0.2">
      <c r="A751" s="2"/>
      <c r="B751" s="2"/>
      <c r="C751" s="2">
        <v>0.5</v>
      </c>
      <c r="D751" s="7"/>
      <c r="E751">
        <f t="shared" si="78"/>
        <v>123.33333333333294</v>
      </c>
      <c r="F751">
        <f t="shared" si="77"/>
        <v>2.0555555555555491</v>
      </c>
      <c r="G751">
        <f t="shared" si="79"/>
        <v>2.7830541131737514E-4</v>
      </c>
      <c r="H751">
        <f t="shared" si="80"/>
        <v>0</v>
      </c>
      <c r="I751">
        <f t="shared" si="81"/>
        <v>67.352104787541023</v>
      </c>
      <c r="J751">
        <f t="shared" si="83"/>
        <v>4.1320967205891508E-4</v>
      </c>
      <c r="L751">
        <f t="shared" si="82"/>
        <v>4.132096720589151E-6</v>
      </c>
    </row>
    <row r="752" spans="1:12" x14ac:dyDescent="0.2">
      <c r="A752" s="2"/>
      <c r="B752" s="2"/>
      <c r="C752" s="2">
        <v>0.5</v>
      </c>
      <c r="D752" s="7"/>
      <c r="E752">
        <f t="shared" si="78"/>
        <v>123.49999999999962</v>
      </c>
      <c r="F752">
        <f t="shared" si="77"/>
        <v>2.0583333333333269</v>
      </c>
      <c r="G752">
        <f t="shared" si="79"/>
        <v>2.7038084226419049E-4</v>
      </c>
      <c r="H752">
        <f t="shared" si="80"/>
        <v>0</v>
      </c>
      <c r="I752">
        <f t="shared" si="81"/>
        <v>67.352104787541023</v>
      </c>
      <c r="J752">
        <f t="shared" si="83"/>
        <v>4.0144379023802429E-4</v>
      </c>
      <c r="L752">
        <f t="shared" si="82"/>
        <v>4.0144379023802429E-6</v>
      </c>
    </row>
    <row r="753" spans="1:12" x14ac:dyDescent="0.2">
      <c r="A753" s="2"/>
      <c r="B753" s="2"/>
      <c r="C753" s="2">
        <v>0.5</v>
      </c>
      <c r="D753" s="7"/>
      <c r="E753">
        <f t="shared" si="78"/>
        <v>123.66666666666629</v>
      </c>
      <c r="F753">
        <f t="shared" ref="F753:F767" si="84">Tsamp+F752</f>
        <v>2.0611111111111047</v>
      </c>
      <c r="G753">
        <f t="shared" si="79"/>
        <v>2.6268192025962562E-4</v>
      </c>
      <c r="H753">
        <f t="shared" si="80"/>
        <v>0</v>
      </c>
      <c r="I753">
        <f t="shared" si="81"/>
        <v>67.352104787541023</v>
      </c>
      <c r="J753">
        <f t="shared" si="83"/>
        <v>3.9001293439639806E-4</v>
      </c>
      <c r="L753">
        <f t="shared" si="82"/>
        <v>3.9001293439639806E-6</v>
      </c>
    </row>
    <row r="754" spans="1:12" x14ac:dyDescent="0.2">
      <c r="A754" s="2"/>
      <c r="B754" s="2"/>
      <c r="C754" s="2">
        <v>0.5</v>
      </c>
      <c r="D754" s="7"/>
      <c r="E754">
        <f t="shared" si="78"/>
        <v>123.83333333333294</v>
      </c>
      <c r="F754">
        <f t="shared" si="84"/>
        <v>2.0638888888888824</v>
      </c>
      <c r="G754">
        <f t="shared" si="79"/>
        <v>2.552022201479139E-4</v>
      </c>
      <c r="H754">
        <f t="shared" si="80"/>
        <v>0</v>
      </c>
      <c r="I754">
        <f t="shared" si="81"/>
        <v>67.352104787541023</v>
      </c>
      <c r="J754">
        <f t="shared" si="83"/>
        <v>3.7890756488299368E-4</v>
      </c>
      <c r="L754">
        <f t="shared" si="82"/>
        <v>3.7890756488299369E-6</v>
      </c>
    </row>
    <row r="755" spans="1:12" x14ac:dyDescent="0.2">
      <c r="A755" s="2"/>
      <c r="B755" s="2"/>
      <c r="C755" s="2">
        <v>0.5</v>
      </c>
      <c r="D755" s="7"/>
      <c r="E755">
        <f t="shared" si="78"/>
        <v>123.99999999999962</v>
      </c>
      <c r="F755">
        <f t="shared" si="84"/>
        <v>2.0666666666666602</v>
      </c>
      <c r="G755">
        <f t="shared" si="79"/>
        <v>2.4793549972550031E-4</v>
      </c>
      <c r="H755">
        <f t="shared" si="80"/>
        <v>0</v>
      </c>
      <c r="I755">
        <f t="shared" si="81"/>
        <v>67.352104787541023</v>
      </c>
      <c r="J755">
        <f t="shared" si="83"/>
        <v>3.6811841368224635E-4</v>
      </c>
      <c r="L755">
        <f t="shared" si="82"/>
        <v>3.6811841368224635E-6</v>
      </c>
    </row>
    <row r="756" spans="1:12" x14ac:dyDescent="0.2">
      <c r="A756" s="2"/>
      <c r="B756" s="2"/>
      <c r="C756" s="2">
        <v>0.5</v>
      </c>
      <c r="D756" s="7"/>
      <c r="E756">
        <f t="shared" si="78"/>
        <v>124.16666666666627</v>
      </c>
      <c r="F756">
        <f t="shared" si="84"/>
        <v>2.069444444444438</v>
      </c>
      <c r="G756">
        <f t="shared" si="79"/>
        <v>2.4087569453159422E-4</v>
      </c>
      <c r="H756">
        <f t="shared" si="80"/>
        <v>0</v>
      </c>
      <c r="I756">
        <f t="shared" si="81"/>
        <v>67.352104787541023</v>
      </c>
      <c r="J756">
        <f t="shared" si="83"/>
        <v>3.5763647667942232E-4</v>
      </c>
      <c r="L756">
        <f t="shared" si="82"/>
        <v>3.576364766794223E-6</v>
      </c>
    </row>
    <row r="757" spans="1:12" x14ac:dyDescent="0.2">
      <c r="A757" s="2"/>
      <c r="B757" s="2"/>
      <c r="C757" s="2">
        <v>0.5</v>
      </c>
      <c r="D757" s="7"/>
      <c r="E757">
        <f t="shared" si="78"/>
        <v>124.33333333333294</v>
      </c>
      <c r="F757">
        <f t="shared" si="84"/>
        <v>2.0722222222222157</v>
      </c>
      <c r="G757">
        <f t="shared" si="79"/>
        <v>2.3401691278705737E-4</v>
      </c>
      <c r="H757">
        <f t="shared" si="80"/>
        <v>0</v>
      </c>
      <c r="I757">
        <f t="shared" si="81"/>
        <v>67.352104787541023</v>
      </c>
      <c r="J757">
        <f t="shared" si="83"/>
        <v>3.4745300614621099E-4</v>
      </c>
      <c r="L757">
        <f t="shared" si="82"/>
        <v>3.4745300614621099E-6</v>
      </c>
    </row>
    <row r="758" spans="1:12" x14ac:dyDescent="0.2">
      <c r="A758" s="2"/>
      <c r="B758" s="2"/>
      <c r="C758" s="2">
        <v>0.5</v>
      </c>
      <c r="D758" s="7"/>
      <c r="E758">
        <f t="shared" si="78"/>
        <v>124.49999999999962</v>
      </c>
      <c r="F758">
        <f t="shared" si="84"/>
        <v>2.0749999999999935</v>
      </c>
      <c r="G758">
        <f t="shared" si="79"/>
        <v>2.2735343047740401E-4</v>
      </c>
      <c r="H758">
        <f t="shared" si="80"/>
        <v>0</v>
      </c>
      <c r="I758">
        <f t="shared" si="81"/>
        <v>67.352104787541023</v>
      </c>
      <c r="J758">
        <f t="shared" si="83"/>
        <v>3.375595034402852E-4</v>
      </c>
      <c r="L758">
        <f t="shared" si="82"/>
        <v>3.3755950344028522E-6</v>
      </c>
    </row>
    <row r="759" spans="1:12" x14ac:dyDescent="0.2">
      <c r="A759" s="2"/>
      <c r="B759" s="2"/>
      <c r="C759" s="2">
        <v>0.5</v>
      </c>
      <c r="D759" s="7"/>
      <c r="E759">
        <f t="shared" si="78"/>
        <v>124.66666666666627</v>
      </c>
      <c r="F759">
        <f t="shared" si="84"/>
        <v>2.0777777777777713</v>
      </c>
      <c r="G759">
        <f t="shared" si="79"/>
        <v>2.2087968657580949E-4</v>
      </c>
      <c r="H759">
        <f t="shared" si="80"/>
        <v>0</v>
      </c>
      <c r="I759">
        <f t="shared" si="81"/>
        <v>67.352104787541023</v>
      </c>
      <c r="J759">
        <f t="shared" si="83"/>
        <v>3.2794771191273654E-4</v>
      </c>
      <c r="L759">
        <f t="shared" si="82"/>
        <v>3.2794771191273652E-6</v>
      </c>
    </row>
    <row r="760" spans="1:12" x14ac:dyDescent="0.2">
      <c r="A760" s="2"/>
      <c r="B760" s="2"/>
      <c r="C760" s="2">
        <v>0.5</v>
      </c>
      <c r="D760" s="7"/>
      <c r="E760">
        <f t="shared" si="78"/>
        <v>124.83333333333294</v>
      </c>
      <c r="F760">
        <f t="shared" si="84"/>
        <v>2.0805555555555491</v>
      </c>
      <c r="G760">
        <f t="shared" si="79"/>
        <v>2.1459027840214058E-4</v>
      </c>
      <c r="H760">
        <f t="shared" si="80"/>
        <v>0</v>
      </c>
      <c r="I760">
        <f t="shared" si="81"/>
        <v>67.352104787541023</v>
      </c>
      <c r="J760">
        <f t="shared" si="83"/>
        <v>3.1860961001746761E-4</v>
      </c>
      <c r="L760">
        <f t="shared" si="82"/>
        <v>3.1860961001746761E-6</v>
      </c>
    </row>
    <row r="761" spans="1:12" x14ac:dyDescent="0.2">
      <c r="A761" s="2"/>
      <c r="B761" s="2"/>
      <c r="C761" s="2">
        <v>0.5</v>
      </c>
      <c r="D761" s="7"/>
      <c r="E761">
        <f t="shared" si="78"/>
        <v>124.9999999999996</v>
      </c>
      <c r="F761">
        <f t="shared" si="84"/>
        <v>2.0833333333333268</v>
      </c>
      <c r="G761">
        <f t="shared" si="79"/>
        <v>2.0847995711413436E-4</v>
      </c>
      <c r="H761">
        <f t="shared" si="80"/>
        <v>0</v>
      </c>
      <c r="I761">
        <f t="shared" si="81"/>
        <v>67.352104787541023</v>
      </c>
      <c r="J761">
        <f t="shared" si="83"/>
        <v>3.0953740461678867E-4</v>
      </c>
      <c r="L761">
        <f t="shared" si="82"/>
        <v>3.0953740461678867E-6</v>
      </c>
    </row>
    <row r="762" spans="1:12" x14ac:dyDescent="0.2">
      <c r="A762" s="2"/>
      <c r="B762" s="2"/>
      <c r="C762" s="2">
        <v>0.5</v>
      </c>
      <c r="D762" s="7"/>
      <c r="E762">
        <f t="shared" si="78"/>
        <v>125.16666666666627</v>
      </c>
      <c r="F762">
        <f t="shared" si="84"/>
        <v>2.0861111111111046</v>
      </c>
      <c r="G762">
        <f t="shared" si="79"/>
        <v>2.0254362332696306E-4</v>
      </c>
      <c r="H762">
        <f t="shared" si="80"/>
        <v>0</v>
      </c>
      <c r="I762">
        <f t="shared" si="81"/>
        <v>67.352104787541023</v>
      </c>
      <c r="J762">
        <f t="shared" si="83"/>
        <v>3.0072352447763464E-4</v>
      </c>
      <c r="L762">
        <f t="shared" si="82"/>
        <v>3.0072352447763465E-6</v>
      </c>
    </row>
    <row r="763" spans="1:12" x14ac:dyDescent="0.2">
      <c r="A763" s="2"/>
      <c r="B763" s="2"/>
      <c r="C763" s="2">
        <v>0.5</v>
      </c>
      <c r="D763" s="7"/>
      <c r="E763">
        <f t="shared" si="78"/>
        <v>125.33333333333294</v>
      </c>
      <c r="F763">
        <f t="shared" si="84"/>
        <v>2.0888888888888824</v>
      </c>
      <c r="G763">
        <f t="shared" si="79"/>
        <v>1.9677632285752897E-4</v>
      </c>
      <c r="H763">
        <f t="shared" si="80"/>
        <v>0</v>
      </c>
      <c r="I763">
        <f t="shared" si="81"/>
        <v>67.352104787541023</v>
      </c>
      <c r="J763">
        <f t="shared" si="83"/>
        <v>2.9216061395297209E-4</v>
      </c>
      <c r="L763">
        <f t="shared" si="82"/>
        <v>2.9216061395297209E-6</v>
      </c>
    </row>
    <row r="764" spans="1:12" x14ac:dyDescent="0.2">
      <c r="A764" s="2"/>
      <c r="B764" s="2"/>
      <c r="C764" s="2">
        <v>0.5</v>
      </c>
      <c r="D764" s="7"/>
      <c r="E764">
        <f t="shared" si="78"/>
        <v>125.4999999999996</v>
      </c>
      <c r="F764">
        <f t="shared" si="84"/>
        <v>2.0916666666666601</v>
      </c>
      <c r="G764">
        <f t="shared" si="79"/>
        <v>1.9117324258993774E-4</v>
      </c>
      <c r="H764">
        <f t="shared" si="80"/>
        <v>0</v>
      </c>
      <c r="I764">
        <f t="shared" si="81"/>
        <v>67.352104787541023</v>
      </c>
      <c r="J764">
        <f t="shared" si="83"/>
        <v>2.8384152684312469E-4</v>
      </c>
      <c r="L764">
        <f t="shared" si="82"/>
        <v>2.838415268431247E-6</v>
      </c>
    </row>
    <row r="765" spans="1:12" x14ac:dyDescent="0.2">
      <c r="A765" s="2"/>
      <c r="B765" s="2"/>
      <c r="C765" s="2">
        <v>0.5</v>
      </c>
      <c r="D765" s="7"/>
      <c r="E765">
        <f t="shared" si="78"/>
        <v>125.66666666666627</v>
      </c>
      <c r="F765">
        <f t="shared" si="84"/>
        <v>2.0944444444444379</v>
      </c>
      <c r="G765">
        <f t="shared" si="79"/>
        <v>1.8572970645869974E-4</v>
      </c>
      <c r="H765">
        <f t="shared" si="80"/>
        <v>0</v>
      </c>
      <c r="I765">
        <f t="shared" si="81"/>
        <v>67.352104787541023</v>
      </c>
      <c r="J765">
        <f t="shared" si="83"/>
        <v>2.7575932043189319E-4</v>
      </c>
      <c r="L765">
        <f t="shared" si="82"/>
        <v>2.757593204318932E-6</v>
      </c>
    </row>
    <row r="766" spans="1:12" x14ac:dyDescent="0.2">
      <c r="A766" s="2"/>
      <c r="B766" s="2"/>
      <c r="C766" s="2">
        <v>0.5</v>
      </c>
      <c r="D766" s="7"/>
      <c r="E766">
        <f t="shared" si="78"/>
        <v>125.83333333333294</v>
      </c>
      <c r="F766">
        <f t="shared" si="84"/>
        <v>2.0972222222222157</v>
      </c>
      <c r="G766">
        <f t="shared" si="79"/>
        <v>1.8044117154630726E-4</v>
      </c>
      <c r="H766">
        <f t="shared" si="80"/>
        <v>0</v>
      </c>
      <c r="I766">
        <f t="shared" si="81"/>
        <v>67.352104787541023</v>
      </c>
      <c r="J766">
        <f t="shared" si="83"/>
        <v>2.6790724969249331E-4</v>
      </c>
      <c r="L766">
        <f t="shared" si="82"/>
        <v>2.6790724969249329E-6</v>
      </c>
    </row>
    <row r="767" spans="1:12" ht="17" thickBot="1" x14ac:dyDescent="0.25">
      <c r="A767" s="49"/>
      <c r="B767" s="49"/>
      <c r="C767" s="22">
        <v>0.5</v>
      </c>
      <c r="D767" s="10"/>
      <c r="E767" s="1">
        <f t="shared" si="78"/>
        <v>125.9999999999996</v>
      </c>
      <c r="F767" s="1">
        <f t="shared" si="84"/>
        <v>2.0999999999999934</v>
      </c>
      <c r="G767" s="1">
        <f t="shared" si="79"/>
        <v>1.7530322429193068E-4</v>
      </c>
      <c r="H767" s="1">
        <f t="shared" si="80"/>
        <v>0</v>
      </c>
      <c r="I767">
        <f t="shared" si="81"/>
        <v>67.352104787541023</v>
      </c>
      <c r="J767">
        <f t="shared" si="83"/>
        <v>2.6027876165847567E-4</v>
      </c>
      <c r="K767" s="1"/>
      <c r="L767">
        <f t="shared" si="82"/>
        <v>2.6027876165847567E-6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Value Calculation</vt:lpstr>
      <vt:lpstr>'Value Calculation'!Tsamp</vt:lpstr>
      <vt:lpstr>'Value Calculation'!Wtkg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Adam, Amal Mohamoud</dc:creator>
  <cp:lastModifiedBy>Adam, Amal Mohamoud</cp:lastModifiedBy>
  <dcterms:created xsi:type="dcterms:W3CDTF">2024-12-12T17:51:52Z</dcterms:created>
  <dcterms:modified xsi:type="dcterms:W3CDTF">2026-02-13T16:20:54Z</dcterms:modified>
</cp:coreProperties>
</file>